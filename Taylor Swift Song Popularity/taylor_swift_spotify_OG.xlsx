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7a56a0276d2041/Desktop/2023-2024 School Year/Spring 2024/STA 691/Project/"/>
    </mc:Choice>
  </mc:AlternateContent>
  <xr:revisionPtr revIDLastSave="4" documentId="13_ncr:1_{D5AD3559-4258-4E36-817A-C414BCE8DC4B}" xr6:coauthVersionLast="47" xr6:coauthVersionMax="47" xr10:uidLastSave="{20C206A3-3960-40B5-868B-DE5D615C6674}"/>
  <bookViews>
    <workbookView xWindow="-57720" yWindow="6900" windowWidth="29040" windowHeight="15720" xr2:uid="{00000000-000D-0000-FFFF-FFFF00000000}"/>
  </bookViews>
  <sheets>
    <sheet name="taylor_swift_spotify_OG" sheetId="1" r:id="rId1"/>
  </sheets>
  <definedNames>
    <definedName name="_xlnm._FilterDatabase" localSheetId="0" hidden="1">taylor_swift_spotify_OG!$A$1:$S$173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2" i="1"/>
</calcChain>
</file>

<file path=xl/sharedStrings.xml><?xml version="1.0" encoding="utf-8"?>
<sst xmlns="http://schemas.openxmlformats.org/spreadsheetml/2006/main" count="706" uniqueCount="542">
  <si>
    <t>name</t>
  </si>
  <si>
    <t>album</t>
  </si>
  <si>
    <t>release_date</t>
  </si>
  <si>
    <t>track_number</t>
  </si>
  <si>
    <t>id</t>
  </si>
  <si>
    <t>uri</t>
  </si>
  <si>
    <t>acousticness</t>
  </si>
  <si>
    <t>danceability</t>
  </si>
  <si>
    <t>energy</t>
  </si>
  <si>
    <t>instrumentalness</t>
  </si>
  <si>
    <t>liveness</t>
  </si>
  <si>
    <t>loudness</t>
  </si>
  <si>
    <t>speechiness</t>
  </si>
  <si>
    <t>tempo</t>
  </si>
  <si>
    <t>valence</t>
  </si>
  <si>
    <t>popularity</t>
  </si>
  <si>
    <t>duration_ms</t>
  </si>
  <si>
    <t>Tim McGraw</t>
  </si>
  <si>
    <t>Taylor Swift</t>
  </si>
  <si>
    <t>2Fn01AIMyHbha2ceNQeOqw</t>
  </si>
  <si>
    <t>spotify:track:2Fn01AIMyHbha2ceNQeOqw</t>
  </si>
  <si>
    <t>Picture To Burn</t>
  </si>
  <si>
    <t>4BYejINgfZF0qKDMEH2cim</t>
  </si>
  <si>
    <t>spotify:track:4BYejINgfZF0qKDMEH2cim</t>
  </si>
  <si>
    <t>Teardrops On My Guitar - Radio Single Remix</t>
  </si>
  <si>
    <t>2TF4UtYreqNbQ6Z9AccldU</t>
  </si>
  <si>
    <t>spotify:track:2TF4UtYreqNbQ6Z9AccldU</t>
  </si>
  <si>
    <t>A Place in this World</t>
  </si>
  <si>
    <t>1oR4MUBpyNrAViC8wPNpfm</t>
  </si>
  <si>
    <t>spotify:track:1oR4MUBpyNrAViC8wPNpfm</t>
  </si>
  <si>
    <t>Cold As You</t>
  </si>
  <si>
    <t>569sXXQ7t0jSdqHooi2yqs</t>
  </si>
  <si>
    <t>spotify:track:569sXXQ7t0jSdqHooi2yqs</t>
  </si>
  <si>
    <t>The Outside</t>
  </si>
  <si>
    <t>5Tj2MqcFMf60CaGsKbM1aq</t>
  </si>
  <si>
    <t>spotify:track:5Tj2MqcFMf60CaGsKbM1aq</t>
  </si>
  <si>
    <t>Tied Together with a Smile</t>
  </si>
  <si>
    <t>2zzxwmoOBnXDT0KnJsoIWk</t>
  </si>
  <si>
    <t>spotify:track:2zzxwmoOBnXDT0KnJsoIWk</t>
  </si>
  <si>
    <t>Stay Beautiful</t>
  </si>
  <si>
    <t>41sjzdjScVwnxnxADElts6</t>
  </si>
  <si>
    <t>spotify:track:41sjzdjScVwnxnxADElts6</t>
  </si>
  <si>
    <t>Should've Said No</t>
  </si>
  <si>
    <t>6CdaXOq1MWe2JHDalTG01d</t>
  </si>
  <si>
    <t>spotify:track:6CdaXOq1MWe2JHDalTG01d</t>
  </si>
  <si>
    <t>Mary's Song (Oh My My My)</t>
  </si>
  <si>
    <t>2O8sogKJCfVZ4rotBv1vVF</t>
  </si>
  <si>
    <t>spotify:track:2O8sogKJCfVZ4rotBv1vVF</t>
  </si>
  <si>
    <t>Our Song</t>
  </si>
  <si>
    <t>1j6gmK6u4WNI33lMZ8dC1s</t>
  </si>
  <si>
    <t>spotify:track:1j6gmK6u4WNI33lMZ8dC1s</t>
  </si>
  <si>
    <t>I'm Only Me When I'm With You</t>
  </si>
  <si>
    <t>7CzxXgQXurKZCyHz9ufbo1</t>
  </si>
  <si>
    <t>spotify:track:7CzxXgQXurKZCyHz9ufbo1</t>
  </si>
  <si>
    <t>Invisible</t>
  </si>
  <si>
    <t>1k3PzDNjg38cWqOvL4M9vq</t>
  </si>
  <si>
    <t>spotify:track:1k3PzDNjg38cWqOvL4M9vq</t>
  </si>
  <si>
    <t>A Perfectly Good Heart</t>
  </si>
  <si>
    <t>0YgHuReCSPwTXYny7isLja</t>
  </si>
  <si>
    <t>spotify:track:0YgHuReCSPwTXYny7isLja</t>
  </si>
  <si>
    <t>Fearless</t>
  </si>
  <si>
    <t>Fearless (Platinum Edition)</t>
  </si>
  <si>
    <t>2okho7vU7Nsq1UZD0kgIMi</t>
  </si>
  <si>
    <t>spotify:track:2okho7vU7Nsq1UZD0kgIMi</t>
  </si>
  <si>
    <t>Fifteen</t>
  </si>
  <si>
    <t>5Ora3Ish2A1JN5veGYTxhw</t>
  </si>
  <si>
    <t>spotify:track:5Ora3Ish2A1JN5veGYTxhw</t>
  </si>
  <si>
    <t>Love Story</t>
  </si>
  <si>
    <t>5hnJCRSo4pxRsaEwT9YusG</t>
  </si>
  <si>
    <t>spotify:track:5hnJCRSo4pxRsaEwT9YusG</t>
  </si>
  <si>
    <t>Hey Stephen</t>
  </si>
  <si>
    <t>3CI1f4yLwdHzcUnH7o0Xyh</t>
  </si>
  <si>
    <t>spotify:track:3CI1f4yLwdHzcUnH7o0Xyh</t>
  </si>
  <si>
    <t>White Horse</t>
  </si>
  <si>
    <t>5yKB8qcTSflDercM2PXwot</t>
  </si>
  <si>
    <t>spotify:track:5yKB8qcTSflDercM2PXwot</t>
  </si>
  <si>
    <t>You Belong With Me</t>
  </si>
  <si>
    <t>4kgTdThcDHfuDS2kKxB7Lc</t>
  </si>
  <si>
    <t>spotify:track:4kgTdThcDHfuDS2kKxB7Lc</t>
  </si>
  <si>
    <t>Breathe</t>
  </si>
  <si>
    <t>23qIWGhpwvDgC23TyZOUck</t>
  </si>
  <si>
    <t>spotify:track:23qIWGhpwvDgC23TyZOUck</t>
  </si>
  <si>
    <t>Tell Me Why</t>
  </si>
  <si>
    <t>4x7Gxk2GfwZJcqpoVT1PbR</t>
  </si>
  <si>
    <t>spotify:track:4x7Gxk2GfwZJcqpoVT1PbR</t>
  </si>
  <si>
    <t>You're Not Sorry</t>
  </si>
  <si>
    <t>3JhvYnOfKLJuWC7jEU0GmJ</t>
  </si>
  <si>
    <t>spotify:track:3JhvYnOfKLJuWC7jEU0GmJ</t>
  </si>
  <si>
    <t>The Way I Loved You</t>
  </si>
  <si>
    <t>4pEZUytwBzha5Un6m3SCFf</t>
  </si>
  <si>
    <t>spotify:track:4pEZUytwBzha5Un6m3SCFf</t>
  </si>
  <si>
    <t>Forever &amp; Always</t>
  </si>
  <si>
    <t>3NKCWBT2uKp8rxSkcvIrdX</t>
  </si>
  <si>
    <t>spotify:track:3NKCWBT2uKp8rxSkcvIrdX</t>
  </si>
  <si>
    <t>The Best Day</t>
  </si>
  <si>
    <t>7CjuAoOiSrwWv7wJonAUmw</t>
  </si>
  <si>
    <t>spotify:track:7CjuAoOiSrwWv7wJonAUmw</t>
  </si>
  <si>
    <t>Change</t>
  </si>
  <si>
    <t>3gFaNwyiafgUoQhR0pHYA9</t>
  </si>
  <si>
    <t>spotify:track:3gFaNwyiafgUoQhR0pHYA9</t>
  </si>
  <si>
    <t>Jump Then Fall</t>
  </si>
  <si>
    <t>6WWvcA62QlnRguluWAk6bv</t>
  </si>
  <si>
    <t>spotify:track:6WWvcA62QlnRguluWAk6bv</t>
  </si>
  <si>
    <t>Untouchable</t>
  </si>
  <si>
    <t>6ovFJkdau79DuXEvQjPaNH</t>
  </si>
  <si>
    <t>spotify:track:6ovFJkdau79DuXEvQjPaNH</t>
  </si>
  <si>
    <t>Forever &amp; Always - Piano Version</t>
  </si>
  <si>
    <t>13MAWVUSkbGMUi6I7RowRK</t>
  </si>
  <si>
    <t>spotify:track:13MAWVUSkbGMUi6I7RowRK</t>
  </si>
  <si>
    <t>Come In With The Rain</t>
  </si>
  <si>
    <t>0cEG04R5cldkTLzK6phlcn</t>
  </si>
  <si>
    <t>spotify:track:0cEG04R5cldkTLzK6phlcn</t>
  </si>
  <si>
    <t>SuperStar</t>
  </si>
  <si>
    <t>0XfTh16YcKPzdxMPTeKTAq</t>
  </si>
  <si>
    <t>spotify:track:0XfTh16YcKPzdxMPTeKTAq</t>
  </si>
  <si>
    <t>The Other Side Of The Door</t>
  </si>
  <si>
    <t>1yDJcXc549N6AabNBzFAku</t>
  </si>
  <si>
    <t>spotify:track:1yDJcXc549N6AabNBzFAku</t>
  </si>
  <si>
    <t>Mine - POP Mix</t>
  </si>
  <si>
    <t>Speak Now</t>
  </si>
  <si>
    <t>0GxW5K0qzrq7L1jwSY5OmY</t>
  </si>
  <si>
    <t>spotify:track:0GxW5K0qzrq7L1jwSY5OmY</t>
  </si>
  <si>
    <t>Sparks Fly</t>
  </si>
  <si>
    <t>46NGAvL695VnbcSeTmQWmM</t>
  </si>
  <si>
    <t>spotify:track:46NGAvL695VnbcSeTmQWmM</t>
  </si>
  <si>
    <t>Back To December</t>
  </si>
  <si>
    <t>5l6GqSxplqnZbLg0LTPQeG</t>
  </si>
  <si>
    <t>spotify:track:5l6GqSxplqnZbLg0LTPQeG</t>
  </si>
  <si>
    <t>7dXKdjpOaH2iwfFKmUj7aq</t>
  </si>
  <si>
    <t>spotify:track:7dXKdjpOaH2iwfFKmUj7aq</t>
  </si>
  <si>
    <t>Dear John</t>
  </si>
  <si>
    <t>3K2es3gElMRJ3qvmPW442g</t>
  </si>
  <si>
    <t>spotify:track:3K2es3gElMRJ3qvmPW442g</t>
  </si>
  <si>
    <t>Mean</t>
  </si>
  <si>
    <t>0KztjtD3ytzgYjUKIVfBnW</t>
  </si>
  <si>
    <t>spotify:track:0KztjtD3ytzgYjUKIVfBnW</t>
  </si>
  <si>
    <t>The Story Of Us</t>
  </si>
  <si>
    <t>3lXekiVK1ZPZbKconsys73</t>
  </si>
  <si>
    <t>spotify:track:3lXekiVK1ZPZbKconsys73</t>
  </si>
  <si>
    <t>Never Grow Up</t>
  </si>
  <si>
    <t>3JilapcaOXzjR9gtvCY8FO</t>
  </si>
  <si>
    <t>spotify:track:3JilapcaOXzjR9gtvCY8FO</t>
  </si>
  <si>
    <t>Enchanted</t>
  </si>
  <si>
    <t>04S1pkp1VaIqjg8zZqknR5</t>
  </si>
  <si>
    <t>spotify:track:04S1pkp1VaIqjg8zZqknR5</t>
  </si>
  <si>
    <t>Better Than Revenge</t>
  </si>
  <si>
    <t>0PWgAyoxsjwGRuFSO0fyya</t>
  </si>
  <si>
    <t>spotify:track:0PWgAyoxsjwGRuFSO0fyya</t>
  </si>
  <si>
    <t>Innocent</t>
  </si>
  <si>
    <t>0mTgFzkDgSAF3nJY25XCXG</t>
  </si>
  <si>
    <t>spotify:track:0mTgFzkDgSAF3nJY25XCXG</t>
  </si>
  <si>
    <t>Haunted</t>
  </si>
  <si>
    <t>2YjKcFQ1vYFhQPgsmCOjss</t>
  </si>
  <si>
    <t>spotify:track:2YjKcFQ1vYFhQPgsmCOjss</t>
  </si>
  <si>
    <t>Last Kiss</t>
  </si>
  <si>
    <t>4EUQXLipplO2v9mVaqQtjc</t>
  </si>
  <si>
    <t>spotify:track:4EUQXLipplO2v9mVaqQtjc</t>
  </si>
  <si>
    <t>Long Live</t>
  </si>
  <si>
    <t>4ewAfHYpDTzpW1GKO44CVP</t>
  </si>
  <si>
    <t>spotify:track:4ewAfHYpDTzpW1GKO44CVP</t>
  </si>
  <si>
    <t>State Of Grace</t>
  </si>
  <si>
    <t>Red (Deluxe Edition)</t>
  </si>
  <si>
    <t>0b16LTzby1YRVd2nq2Z0fw</t>
  </si>
  <si>
    <t>spotify:track:0b16LTzby1YRVd2nq2Z0fw</t>
  </si>
  <si>
    <t>Red</t>
  </si>
  <si>
    <t>7gJtmLyPTwKzhGzMBXtuXH</t>
  </si>
  <si>
    <t>spotify:track:7gJtmLyPTwKzhGzMBXtuXH</t>
  </si>
  <si>
    <t>Treacherous</t>
  </si>
  <si>
    <t>7nECwCDHS1JvQbrmuorZIH</t>
  </si>
  <si>
    <t>spotify:track:7nECwCDHS1JvQbrmuorZIH</t>
  </si>
  <si>
    <t>I Knew You Were Trouble.</t>
  </si>
  <si>
    <t>3lKZf71jeNi14udIFPJ29V</t>
  </si>
  <si>
    <t>spotify:track:3lKZf71jeNi14udIFPJ29V</t>
  </si>
  <si>
    <t>All Too Well</t>
  </si>
  <si>
    <t>6GNRkaWUB0Lwc19SdkTgx8</t>
  </si>
  <si>
    <t>spotify:track:6GNRkaWUB0Lwc19SdkTgx8</t>
  </si>
  <si>
    <t>3WC5CVAahvn98hiseoIvbw</t>
  </si>
  <si>
    <t>spotify:track:3WC5CVAahvn98hiseoIvbw</t>
  </si>
  <si>
    <t>I Almost Do</t>
  </si>
  <si>
    <t>1eyqSYBCTane4rl4vc6PWJ</t>
  </si>
  <si>
    <t>spotify:track:1eyqSYBCTane4rl4vc6PWJ</t>
  </si>
  <si>
    <t>We Are Never Ever Getting Back Together</t>
  </si>
  <si>
    <t>6kISMRfweKSvgHR0urMQFG</t>
  </si>
  <si>
    <t>spotify:track:6kISMRfweKSvgHR0urMQFG</t>
  </si>
  <si>
    <t>Stay Stay Stay</t>
  </si>
  <si>
    <t>0F2S1QlnMaOfmNHIgmES3k</t>
  </si>
  <si>
    <t>spotify:track:0F2S1QlnMaOfmNHIgmES3k</t>
  </si>
  <si>
    <t>The Last Time</t>
  </si>
  <si>
    <t>2Tz4JnXZOcjcp8fWfMjBBk</t>
  </si>
  <si>
    <t>spotify:track:2Tz4JnXZOcjcp8fWfMjBBk</t>
  </si>
  <si>
    <t>Holy Ground</t>
  </si>
  <si>
    <t>3KmYVOuK2eG7LGP7qQ8DLR</t>
  </si>
  <si>
    <t>spotify:track:3KmYVOuK2eG7LGP7qQ8DLR</t>
  </si>
  <si>
    <t>Sad Beautiful Tragic</t>
  </si>
  <si>
    <t>70e9zuv2pJc7ON1OUAJ1zl</t>
  </si>
  <si>
    <t>spotify:track:70e9zuv2pJc7ON1OUAJ1zl</t>
  </si>
  <si>
    <t>The Lucky One</t>
  </si>
  <si>
    <t>5VQLMrWhailAhErKNUSnv1</t>
  </si>
  <si>
    <t>spotify:track:5VQLMrWhailAhErKNUSnv1</t>
  </si>
  <si>
    <t>Everything Has Changed</t>
  </si>
  <si>
    <t>5PjfMmF06QtxTPZBZHdhoZ</t>
  </si>
  <si>
    <t>spotify:track:5PjfMmF06QtxTPZBZHdhoZ</t>
  </si>
  <si>
    <t>Starlight</t>
  </si>
  <si>
    <t>1gL4vMhDV3RgJQmDuY5HK1</t>
  </si>
  <si>
    <t>spotify:track:1gL4vMhDV3RgJQmDuY5HK1</t>
  </si>
  <si>
    <t>Begin Again</t>
  </si>
  <si>
    <t>1yG491M3fRfowMdGN5pey4</t>
  </si>
  <si>
    <t>spotify:track:1yG491M3fRfowMdGN5pey4</t>
  </si>
  <si>
    <t>The Moment I Knew</t>
  </si>
  <si>
    <t>4qTAwKJQ68gmnrnfPD3vlO</t>
  </si>
  <si>
    <t>spotify:track:4qTAwKJQ68gmnrnfPD3vlO</t>
  </si>
  <si>
    <t>Come Back...Be Here</t>
  </si>
  <si>
    <t>1n8rB9AhxiAvVP1E2c3yOd</t>
  </si>
  <si>
    <t>spotify:track:1n8rB9AhxiAvVP1E2c3yOd</t>
  </si>
  <si>
    <t>Girl At Home</t>
  </si>
  <si>
    <t>6VFpuI0DDmbC5UyWZQ4IRY</t>
  </si>
  <si>
    <t>spotify:track:6VFpuI0DDmbC5UyWZQ4IRY</t>
  </si>
  <si>
    <t>Treacherous - Original Demo Recording</t>
  </si>
  <si>
    <t>7skiELMb9SiQCcBpsExIJf</t>
  </si>
  <si>
    <t>spotify:track:7skiELMb9SiQCcBpsExIJf</t>
  </si>
  <si>
    <t>Red - Original Demo Recording</t>
  </si>
  <si>
    <t>2OghnlGqZZsFzHjG0CSE9l</t>
  </si>
  <si>
    <t>spotify:track:2OghnlGqZZsFzHjG0CSE9l</t>
  </si>
  <si>
    <t>State Of Grace - Acoustic</t>
  </si>
  <si>
    <t>5mfDBWY7ncZFm7ykmFTG4i</t>
  </si>
  <si>
    <t>spotify:track:5mfDBWY7ncZFm7ykmFTG4i</t>
  </si>
  <si>
    <t>Welcome To New York</t>
  </si>
  <si>
    <t>1989 (Deluxe)</t>
  </si>
  <si>
    <t>3nRmDz7qGCvsMS30rGGY0x</t>
  </si>
  <si>
    <t>spotify:track:3nRmDz7qGCvsMS30rGGY0x</t>
  </si>
  <si>
    <t>Blank Space</t>
  </si>
  <si>
    <t>1u8c2t2Cy7UBoG4ArRcF5g</t>
  </si>
  <si>
    <t>spotify:track:1u8c2t2Cy7UBoG4ArRcF5g</t>
  </si>
  <si>
    <t>Style</t>
  </si>
  <si>
    <t>0ug5NqcwcFR2xrfTkc7k8e</t>
  </si>
  <si>
    <t>spotify:track:0ug5NqcwcFR2xrfTkc7k8e</t>
  </si>
  <si>
    <t>Out Of The Woods</t>
  </si>
  <si>
    <t>0qUnBLZ8bJqUNEeQgayL9t</t>
  </si>
  <si>
    <t>spotify:track:0qUnBLZ8bJqUNEeQgayL9t</t>
  </si>
  <si>
    <t>All You Had To Do Was Stay</t>
  </si>
  <si>
    <t>6aLOekfwbytwWvQftxTEF0</t>
  </si>
  <si>
    <t>spotify:track:6aLOekfwbytwWvQftxTEF0</t>
  </si>
  <si>
    <t>Shake It Off</t>
  </si>
  <si>
    <t>0cqRj7pUJDkTCEsJkx8snD</t>
  </si>
  <si>
    <t>spotify:track:0cqRj7pUJDkTCEsJkx8snD</t>
  </si>
  <si>
    <t>I Wish You Would</t>
  </si>
  <si>
    <t>5gRYrtvyVyaCRvLt56OfuV</t>
  </si>
  <si>
    <t>spotify:track:5gRYrtvyVyaCRvLt56OfuV</t>
  </si>
  <si>
    <t>Bad Blood</t>
  </si>
  <si>
    <t>2NlmmAjGYrrjAp0MED5rGx</t>
  </si>
  <si>
    <t>spotify:track:2NlmmAjGYrrjAp0MED5rGx</t>
  </si>
  <si>
    <t>Wildest Dreams</t>
  </si>
  <si>
    <t>4A4A6dwl5DqdqrZaEtKGPR</t>
  </si>
  <si>
    <t>spotify:track:4A4A6dwl5DqdqrZaEtKGPR</t>
  </si>
  <si>
    <t>How You Get The Girl</t>
  </si>
  <si>
    <t>0fM9dEhUFV4MHDuJgrcfOv</t>
  </si>
  <si>
    <t>spotify:track:0fM9dEhUFV4MHDuJgrcfOv</t>
  </si>
  <si>
    <t>This Love</t>
  </si>
  <si>
    <t>4L560fic5PaTuCFm6CviKa</t>
  </si>
  <si>
    <t>spotify:track:4L560fic5PaTuCFm6CviKa</t>
  </si>
  <si>
    <t>I Know Places</t>
  </si>
  <si>
    <t>6EwNJz8CuVsrsLvXprJ20Q</t>
  </si>
  <si>
    <t>spotify:track:6EwNJz8CuVsrsLvXprJ20Q</t>
  </si>
  <si>
    <t>Clean</t>
  </si>
  <si>
    <t>1NmVZsG18CzCAtw7rnV3yA</t>
  </si>
  <si>
    <t>spotify:track:1NmVZsG18CzCAtw7rnV3yA</t>
  </si>
  <si>
    <t>Wonderland</t>
  </si>
  <si>
    <t>6RvRzl1YJTDnUvdOtV21IK</t>
  </si>
  <si>
    <t>spotify:track:6RvRzl1YJTDnUvdOtV21IK</t>
  </si>
  <si>
    <t>You Are In Love</t>
  </si>
  <si>
    <t>2KrOAg6FftbjgSKdd2a4rS</t>
  </si>
  <si>
    <t>spotify:track:2KrOAg6FftbjgSKdd2a4rS</t>
  </si>
  <si>
    <t>New Romantics</t>
  </si>
  <si>
    <t>0qAIiGFKLdV1xpNlEhjpq8</t>
  </si>
  <si>
    <t>spotify:track:0qAIiGFKLdV1xpNlEhjpq8</t>
  </si>
  <si>
    <t>...Ready For It?</t>
  </si>
  <si>
    <t>reputation</t>
  </si>
  <si>
    <t>2yLa0QULdQr0qAIvVwN6B5</t>
  </si>
  <si>
    <t>spotify:track:2yLa0QULdQr0qAIvVwN6B5</t>
  </si>
  <si>
    <t>End Game</t>
  </si>
  <si>
    <t>2x0WlnmfG39ZuDmstl9xfX</t>
  </si>
  <si>
    <t>spotify:track:2x0WlnmfG39ZuDmstl9xfX</t>
  </si>
  <si>
    <t>I Did Something Bad</t>
  </si>
  <si>
    <t>4svZDCRz4cJoneBpjpx8DJ</t>
  </si>
  <si>
    <t>spotify:track:4svZDCRz4cJoneBpjpx8DJ</t>
  </si>
  <si>
    <t>Don't Blame Me</t>
  </si>
  <si>
    <t>1R0a2iXumgCiFb7HEZ7gUE</t>
  </si>
  <si>
    <t>spotify:track:1R0a2iXumgCiFb7HEZ7gUE</t>
  </si>
  <si>
    <t>Delicate</t>
  </si>
  <si>
    <t>6NFyWDv5CjfwuzoCkw47Xf</t>
  </si>
  <si>
    <t>spotify:track:6NFyWDv5CjfwuzoCkw47Xf</t>
  </si>
  <si>
    <t>Look What You Made Me Do</t>
  </si>
  <si>
    <t>1P17dC1amhFzptugyAO7Il</t>
  </si>
  <si>
    <t>spotify:track:1P17dC1amhFzptugyAO7Il</t>
  </si>
  <si>
    <t>So It Goes...</t>
  </si>
  <si>
    <t>5PxFv9yJEg9dxvbZggykro</t>
  </si>
  <si>
    <t>spotify:track:5PxFv9yJEg9dxvbZggykro</t>
  </si>
  <si>
    <t>Gorgeous</t>
  </si>
  <si>
    <t>1ZY1PqizIl78geGM4xWlEA</t>
  </si>
  <si>
    <t>spotify:track:1ZY1PqizIl78geGM4xWlEA</t>
  </si>
  <si>
    <t>Getaway Car</t>
  </si>
  <si>
    <t>0VE4kBnHJUgtMf0dy6DRmW</t>
  </si>
  <si>
    <t>spotify:track:0VE4kBnHJUgtMf0dy6DRmW</t>
  </si>
  <si>
    <t>King Of My Heart</t>
  </si>
  <si>
    <t>7HuBDWi18s4aJM8UFnNheH</t>
  </si>
  <si>
    <t>spotify:track:7HuBDWi18s4aJM8UFnNheH</t>
  </si>
  <si>
    <t>Dancing With Our Hands Tied</t>
  </si>
  <si>
    <t>7I7JbDv63ZJJsSi24DyJrz</t>
  </si>
  <si>
    <t>spotify:track:7I7JbDv63ZJJsSi24DyJrz</t>
  </si>
  <si>
    <t>Dress</t>
  </si>
  <si>
    <t>6oVxXO5oQ4pTpO8RSnkzvv</t>
  </si>
  <si>
    <t>spotify:track:6oVxXO5oQ4pTpO8RSnkzvv</t>
  </si>
  <si>
    <t>This Is Why We Can't Have Nice Things</t>
  </si>
  <si>
    <t>07NxDD1iKCHbAldceD7QLP</t>
  </si>
  <si>
    <t>spotify:track:07NxDD1iKCHbAldceD7QLP</t>
  </si>
  <si>
    <t>Call It What You Want</t>
  </si>
  <si>
    <t>1GwMQaZz6Au3QLDbjbMdme</t>
  </si>
  <si>
    <t>spotify:track:1GwMQaZz6Au3QLDbjbMdme</t>
  </si>
  <si>
    <t>New Year's Day</t>
  </si>
  <si>
    <t>7F5oktn5YOsR9eR5YsFtqb</t>
  </si>
  <si>
    <t>spotify:track:7F5oktn5YOsR9eR5YsFtqb</t>
  </si>
  <si>
    <t>I Forgot That You Existed</t>
  </si>
  <si>
    <t>Lover</t>
  </si>
  <si>
    <t>43rA71bccXFGD4C8GOpIlN</t>
  </si>
  <si>
    <t>spotify:track:43rA71bccXFGD4C8GOpIlN</t>
  </si>
  <si>
    <t>Cruel Summer</t>
  </si>
  <si>
    <t>1BxfuPKGuaTgP7aM0Bbdwr</t>
  </si>
  <si>
    <t>spotify:track:1BxfuPKGuaTgP7aM0Bbdwr</t>
  </si>
  <si>
    <t>1dGr1c8CrMLDpV6mPbImSI</t>
  </si>
  <si>
    <t>spotify:track:1dGr1c8CrMLDpV6mPbImSI</t>
  </si>
  <si>
    <t>The Man</t>
  </si>
  <si>
    <t>3RauEVgRgj1IuWdJ9fDs70</t>
  </si>
  <si>
    <t>spotify:track:3RauEVgRgj1IuWdJ9fDs70</t>
  </si>
  <si>
    <t>The Archer</t>
  </si>
  <si>
    <t>3pHkh7d0lzM2AldUtz2x37</t>
  </si>
  <si>
    <t>spotify:track:3pHkh7d0lzM2AldUtz2x37</t>
  </si>
  <si>
    <t>I Think He Knows</t>
  </si>
  <si>
    <t>2YWtcWi3a83pdEg3Gif4Pd</t>
  </si>
  <si>
    <t>spotify:track:2YWtcWi3a83pdEg3Gif4Pd</t>
  </si>
  <si>
    <t>Miss Americana &amp; The Heartbreak Prince</t>
  </si>
  <si>
    <t>214nt20w5wOxJnY462klLw</t>
  </si>
  <si>
    <t>spotify:track:214nt20w5wOxJnY462klLw</t>
  </si>
  <si>
    <t>Paper Rings</t>
  </si>
  <si>
    <t>4y5bvROuBDPr5fuwXbIBZR</t>
  </si>
  <si>
    <t>spotify:track:4y5bvROuBDPr5fuwXbIBZR</t>
  </si>
  <si>
    <t>Cornelia Street</t>
  </si>
  <si>
    <t>12M5uqx0ZuwkpLp5rJim1a</t>
  </si>
  <si>
    <t>spotify:track:12M5uqx0ZuwkpLp5rJim1a</t>
  </si>
  <si>
    <t>Death By A Thousand Cuts</t>
  </si>
  <si>
    <t>2dgFqt3w9xIQRjhPtwNk3D</t>
  </si>
  <si>
    <t>spotify:track:2dgFqt3w9xIQRjhPtwNk3D</t>
  </si>
  <si>
    <t>London Boy</t>
  </si>
  <si>
    <t>1LLXZFeAHK9R4xUramtUKw</t>
  </si>
  <si>
    <t>spotify:track:1LLXZFeAHK9R4xUramtUKw</t>
  </si>
  <si>
    <t>Soon You'll Get Better (feat. The Chicks)</t>
  </si>
  <si>
    <t>4AYtqFyFbX0Xkc2wtcygTr</t>
  </si>
  <si>
    <t>spotify:track:4AYtqFyFbX0Xkc2wtcygTr</t>
  </si>
  <si>
    <t>False God</t>
  </si>
  <si>
    <t>5hQSXkFgbxjZo9uCwd11so</t>
  </si>
  <si>
    <t>spotify:track:5hQSXkFgbxjZo9uCwd11so</t>
  </si>
  <si>
    <t>You Need To Calm Down</t>
  </si>
  <si>
    <t>6RRNNciQGZEXnqk8SQ9yv5</t>
  </si>
  <si>
    <t>spotify:track:6RRNNciQGZEXnqk8SQ9yv5</t>
  </si>
  <si>
    <t>Afterglow</t>
  </si>
  <si>
    <t>1SymEzIT3H8UZfibCs3TYi</t>
  </si>
  <si>
    <t>spotify:track:1SymEzIT3H8UZfibCs3TYi</t>
  </si>
  <si>
    <t>ME! (feat. Brendon Urie of Panic! At The Disco)</t>
  </si>
  <si>
    <t>2Rk4JlNc2TPmZe2af99d45</t>
  </si>
  <si>
    <t>spotify:track:2Rk4JlNc2TPmZe2af99d45</t>
  </si>
  <si>
    <t>It's Nice To Have A Friend</t>
  </si>
  <si>
    <t>1SmiQ65iSAbPto6gPFlBYm</t>
  </si>
  <si>
    <t>spotify:track:1SmiQ65iSAbPto6gPFlBYm</t>
  </si>
  <si>
    <t>Daylight</t>
  </si>
  <si>
    <t>1fzAuUVbzlhZ1lJAx9PtY6</t>
  </si>
  <si>
    <t>spotify:track:1fzAuUVbzlhZ1lJAx9PtY6</t>
  </si>
  <si>
    <t>the 1</t>
  </si>
  <si>
    <t>folklore (deluxe version)</t>
  </si>
  <si>
    <t>4pfrrhvplbJZAIsfosGWQP</t>
  </si>
  <si>
    <t>spotify:track:4pfrrhvplbJZAIsfosGWQP</t>
  </si>
  <si>
    <t>cardigan</t>
  </si>
  <si>
    <t>0KRYCBwIpWYFNrXOmXbyUh</t>
  </si>
  <si>
    <t>spotify:track:0KRYCBwIpWYFNrXOmXbyUh</t>
  </si>
  <si>
    <t>the last great american dynasty</t>
  </si>
  <si>
    <t>2olxzvoFI9IpxqFeUv7WOX</t>
  </si>
  <si>
    <t>spotify:track:2olxzvoFI9IpxqFeUv7WOX</t>
  </si>
  <si>
    <t>exile (feat. Bon Iver)</t>
  </si>
  <si>
    <t>5S4aYQAJOwJMAamANWlICO</t>
  </si>
  <si>
    <t>spotify:track:5S4aYQAJOwJMAamANWlICO</t>
  </si>
  <si>
    <t>my tears ricochet</t>
  </si>
  <si>
    <t>5P2bHCDM2tsgIaYWsZMhu5</t>
  </si>
  <si>
    <t>spotify:track:5P2bHCDM2tsgIaYWsZMhu5</t>
  </si>
  <si>
    <t>mirrorball</t>
  </si>
  <si>
    <t>2I8YAEA1VmCuP1wkJHMpTw</t>
  </si>
  <si>
    <t>spotify:track:2I8YAEA1VmCuP1wkJHMpTw</t>
  </si>
  <si>
    <t>seven</t>
  </si>
  <si>
    <t>76mOLcXOjOEhyY4mMF1l3r</t>
  </si>
  <si>
    <t>spotify:track:76mOLcXOjOEhyY4mMF1l3r</t>
  </si>
  <si>
    <t>august</t>
  </si>
  <si>
    <t>6nK2pIKFcRc5frrZKHgsiT</t>
  </si>
  <si>
    <t>spotify:track:6nK2pIKFcRc5frrZKHgsiT</t>
  </si>
  <si>
    <t>this is me trying</t>
  </si>
  <si>
    <t>7cm50Lw03k6VvRauJtkyTj</t>
  </si>
  <si>
    <t>spotify:track:7cm50Lw03k6VvRauJtkyTj</t>
  </si>
  <si>
    <t>illicit affairs</t>
  </si>
  <si>
    <t>6DrLROM5MG9bxWHeEG5elq</t>
  </si>
  <si>
    <t>spotify:track:6DrLROM5MG9bxWHeEG5elq</t>
  </si>
  <si>
    <t>invisible string</t>
  </si>
  <si>
    <t>2ehRU518I0hYqMGQnk4lDY</t>
  </si>
  <si>
    <t>spotify:track:2ehRU518I0hYqMGQnk4lDY</t>
  </si>
  <si>
    <t>mad woman</t>
  </si>
  <si>
    <t>0RP1kqoSPkVXsKiQNhMKzV</t>
  </si>
  <si>
    <t>spotify:track:0RP1kqoSPkVXsKiQNhMKzV</t>
  </si>
  <si>
    <t>epiphany</t>
  </si>
  <si>
    <t>1EXa37LpSvi3OQ9UYQ28rD</t>
  </si>
  <si>
    <t>spotify:track:1EXa37LpSvi3OQ9UYQ28rD</t>
  </si>
  <si>
    <t>betty</t>
  </si>
  <si>
    <t>3IhtE4fkytdrtEfV34UzkD</t>
  </si>
  <si>
    <t>spotify:track:3IhtE4fkytdrtEfV34UzkD</t>
  </si>
  <si>
    <t>peace</t>
  </si>
  <si>
    <t>6JlI8Ay77m4nJvZTHvfT1J</t>
  </si>
  <si>
    <t>spotify:track:6JlI8Ay77m4nJvZTHvfT1J</t>
  </si>
  <si>
    <t>hoax</t>
  </si>
  <si>
    <t>0YeDG5HnKnG7jpArkzsSPa</t>
  </si>
  <si>
    <t>spotify:track:0YeDG5HnKnG7jpArkzsSPa</t>
  </si>
  <si>
    <t>the lakes - bonus track</t>
  </si>
  <si>
    <t>0eFQWVz0qIxDOvhLpZ40P7</t>
  </si>
  <si>
    <t>spotify:track:0eFQWVz0qIxDOvhLpZ40P7</t>
  </si>
  <si>
    <t>willow</t>
  </si>
  <si>
    <t>evermore (deluxe version)</t>
  </si>
  <si>
    <t>2gVhfX2Gy1T9kDuS9azrF7</t>
  </si>
  <si>
    <t>spotify:track:2gVhfX2Gy1T9kDuS9azrF7</t>
  </si>
  <si>
    <t>champagne problems</t>
  </si>
  <si>
    <t>1gcyHQpBQ1lfXGdhZmWrHP</t>
  </si>
  <si>
    <t>spotify:track:1gcyHQpBQ1lfXGdhZmWrHP</t>
  </si>
  <si>
    <t>gold rush</t>
  </si>
  <si>
    <t>3Dby3p1m6IOZn2gIIqECgK</t>
  </si>
  <si>
    <t>spotify:track:3Dby3p1m6IOZn2gIIqECgK</t>
  </si>
  <si>
    <t>â€˜tis the damn season</t>
  </si>
  <si>
    <t>6sQckd3Z8NPxVVKUnavY1F</t>
  </si>
  <si>
    <t>spotify:track:6sQckd3Z8NPxVVKUnavY1F</t>
  </si>
  <si>
    <t>tolerate it</t>
  </si>
  <si>
    <t>6lCvK2AR2uOKkVFCVlAzzm</t>
  </si>
  <si>
    <t>spotify:track:6lCvK2AR2uOKkVFCVlAzzm</t>
  </si>
  <si>
    <t>no body, no crime (feat. HAIM)</t>
  </si>
  <si>
    <t>6uwfVkaOM1mcMkFmSn35ix</t>
  </si>
  <si>
    <t>spotify:track:6uwfVkaOM1mcMkFmSn35ix</t>
  </si>
  <si>
    <t>happiness</t>
  </si>
  <si>
    <t>55Vf4bimc1Rtfg0PAQRAo2</t>
  </si>
  <si>
    <t>spotify:track:55Vf4bimc1Rtfg0PAQRAo2</t>
  </si>
  <si>
    <t>dorothea</t>
  </si>
  <si>
    <t>66tOfHVH3aUrscg8vExRV4</t>
  </si>
  <si>
    <t>spotify:track:66tOfHVH3aUrscg8vExRV4</t>
  </si>
  <si>
    <t>coney island (feat. The National)</t>
  </si>
  <si>
    <t>2awNGIJHodfLZSClB3PYhz</t>
  </si>
  <si>
    <t>spotify:track:2awNGIJHodfLZSClB3PYhz</t>
  </si>
  <si>
    <t>ivy</t>
  </si>
  <si>
    <t>43Ykum9T72UOPhBN31grpN</t>
  </si>
  <si>
    <t>spotify:track:43Ykum9T72UOPhBN31grpN</t>
  </si>
  <si>
    <t>cowboy like me</t>
  </si>
  <si>
    <t>52OkpDsU6MmPx1AwGOb6Ap</t>
  </si>
  <si>
    <t>spotify:track:52OkpDsU6MmPx1AwGOb6Ap</t>
  </si>
  <si>
    <t>long story short</t>
  </si>
  <si>
    <t>5VYWxXUpxuxEmCqMLDqICo</t>
  </si>
  <si>
    <t>spotify:track:5VYWxXUpxuxEmCqMLDqICo</t>
  </si>
  <si>
    <t>marjorie</t>
  </si>
  <si>
    <t>5uICWmZTLkpEVbK22PBP6e</t>
  </si>
  <si>
    <t>spotify:track:5uICWmZTLkpEVbK22PBP6e</t>
  </si>
  <si>
    <t>closure</t>
  </si>
  <si>
    <t>6a8aUhYbaQBUI8PcJ5ZmQ6</t>
  </si>
  <si>
    <t>spotify:track:6a8aUhYbaQBUI8PcJ5ZmQ6</t>
  </si>
  <si>
    <t>evermore (feat. Bon Iver)</t>
  </si>
  <si>
    <t>6Wlq9rqkxrqj5Kls4Kw14H</t>
  </si>
  <si>
    <t>spotify:track:6Wlq9rqkxrqj5Kls4Kw14H</t>
  </si>
  <si>
    <t>right where you left me - bonus track</t>
  </si>
  <si>
    <t>3zwMVvkBe2qIKDObWgXw4N</t>
  </si>
  <si>
    <t>spotify:track:3zwMVvkBe2qIKDObWgXw4N</t>
  </si>
  <si>
    <t>it's time to go - bonus track</t>
  </si>
  <si>
    <t>1kdWw77ZpYOkhxeuhzU1j6</t>
  </si>
  <si>
    <t>spotify:track:1kdWw77ZpYOkhxeuhzU1j6</t>
  </si>
  <si>
    <t>Lavender Haze</t>
  </si>
  <si>
    <t>Midnights (3am Edition)</t>
  </si>
  <si>
    <t>4g2c7NoTWAOSYDy44l9nub</t>
  </si>
  <si>
    <t>spotify:track:4g2c7NoTWAOSYDy44l9nub</t>
  </si>
  <si>
    <t>Maroon</t>
  </si>
  <si>
    <t>199E1RRrVmVTQqBXih5qRC</t>
  </si>
  <si>
    <t>spotify:track:199E1RRrVmVTQqBXih5qRC</t>
  </si>
  <si>
    <t>Anti-Hero</t>
  </si>
  <si>
    <t>02Zkkf2zMkwRGQjZ7T4p8f</t>
  </si>
  <si>
    <t>spotify:track:02Zkkf2zMkwRGQjZ7T4p8f</t>
  </si>
  <si>
    <t>Snow On The Beach (feat. Lana Del Rey)</t>
  </si>
  <si>
    <t>6ADDIJxxqzM9LMpm78yzQG</t>
  </si>
  <si>
    <t>spotify:track:6ADDIJxxqzM9LMpm78yzQG</t>
  </si>
  <si>
    <t>You're On Your Own, Kid</t>
  </si>
  <si>
    <t>7gVWKBcfIW93YxNBi3ApIE</t>
  </si>
  <si>
    <t>spotify:track:7gVWKBcfIW93YxNBi3ApIE</t>
  </si>
  <si>
    <t>Midnight Rain</t>
  </si>
  <si>
    <t>6Nl7KyvjkFncGsjB49SxLl</t>
  </si>
  <si>
    <t>spotify:track:6Nl7KyvjkFncGsjB49SxLl</t>
  </si>
  <si>
    <t>Question...?</t>
  </si>
  <si>
    <t>6C7OF1Jal7YkyjzyUG8vkK</t>
  </si>
  <si>
    <t>spotify:track:6C7OF1Jal7YkyjzyUG8vkK</t>
  </si>
  <si>
    <t>Vigilante Shit</t>
  </si>
  <si>
    <t>5yeuXkukVGuix3vmLu2BPJ</t>
  </si>
  <si>
    <t>spotify:track:5yeuXkukVGuix3vmLu2BPJ</t>
  </si>
  <si>
    <t>Bejeweled</t>
  </si>
  <si>
    <t>0jvo9CjnbR0lYUDTSNTMiu</t>
  </si>
  <si>
    <t>spotify:track:0jvo9CjnbR0lYUDTSNTMiu</t>
  </si>
  <si>
    <t>Labyrinth</t>
  </si>
  <si>
    <t>43q586vP8gGkYypKoSddhl</t>
  </si>
  <si>
    <t>spotify:track:43q586vP8gGkYypKoSddhl</t>
  </si>
  <si>
    <t>Karma</t>
  </si>
  <si>
    <t>5oqDgw5VGBln5dSIOPWyBq</t>
  </si>
  <si>
    <t>spotify:track:5oqDgw5VGBln5dSIOPWyBq</t>
  </si>
  <si>
    <t>Sweet Nothing</t>
  </si>
  <si>
    <t>3zmwONxswBAzGwExPugSLN</t>
  </si>
  <si>
    <t>spotify:track:3zmwONxswBAzGwExPugSLN</t>
  </si>
  <si>
    <t>Mastermind</t>
  </si>
  <si>
    <t>56hioFjQ0DXrdn04hZcFgG</t>
  </si>
  <si>
    <t>spotify:track:56hioFjQ0DXrdn04hZcFgG</t>
  </si>
  <si>
    <t>The Great War</t>
  </si>
  <si>
    <t>3UMrglJeju5yWyYIW6o99b</t>
  </si>
  <si>
    <t>spotify:track:3UMrglJeju5yWyYIW6o99b</t>
  </si>
  <si>
    <t>Bigger Than The Whole Sky</t>
  </si>
  <si>
    <t>0BiqmkasE5FdrChwKfVp8X</t>
  </si>
  <si>
    <t>spotify:track:0BiqmkasE5FdrChwKfVp8X</t>
  </si>
  <si>
    <t>Paris</t>
  </si>
  <si>
    <t>7712gjoih4QoDbXpljEk21</t>
  </si>
  <si>
    <t>spotify:track:7712gjoih4QoDbXpljEk21</t>
  </si>
  <si>
    <t>High Infidelity</t>
  </si>
  <si>
    <t>5kiZGSxgqPdv6rbqL9THdd</t>
  </si>
  <si>
    <t>spotify:track:5kiZGSxgqPdv6rbqL9THdd</t>
  </si>
  <si>
    <t>Glitch</t>
  </si>
  <si>
    <t>6wAFvJPpTZVirBKGZ4EnMW</t>
  </si>
  <si>
    <t>spotify:track:6wAFvJPpTZVirBKGZ4EnMW</t>
  </si>
  <si>
    <t>Would've, Could've, Should've</t>
  </si>
  <si>
    <t>0aV5uARAknQgYhBaK944FP</t>
  </si>
  <si>
    <t>spotify:track:0aV5uARAknQgYhBaK944FP</t>
  </si>
  <si>
    <t>Dear Reader</t>
  </si>
  <si>
    <t>3QF5RsWzK1lCvf2o2cY65P</t>
  </si>
  <si>
    <t>spotify:track:3QF5RsWzK1lCvf2o2cY65P</t>
  </si>
  <si>
    <t>popularity_binary</t>
  </si>
  <si>
    <t>Observation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</si>
</sst>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3"/>
  <sheetViews>
    <sheetView tabSelected="1" workbookViewId="0"/>
  </sheetViews>
  <sheetFormatPr defaultRowHeight="14.25" x14ac:dyDescent="0.45"/>
  <cols>
    <col min="2" max="2" width="33.1328125" customWidth="1"/>
    <col min="3" max="3" width="26.73046875" customWidth="1"/>
    <col min="4" max="4" width="15.73046875" customWidth="1"/>
    <col min="5" max="5" width="12.265625" customWidth="1"/>
    <col min="6" max="6" width="19.265625" customWidth="1"/>
  </cols>
  <sheetData>
    <row r="1" spans="1:19" x14ac:dyDescent="0.45">
      <c r="A1" t="s">
        <v>541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540</v>
      </c>
      <c r="S1" t="s">
        <v>16</v>
      </c>
    </row>
    <row r="2" spans="1:19" x14ac:dyDescent="0.45">
      <c r="A2">
        <v>1</v>
      </c>
      <c r="B2" t="s">
        <v>17</v>
      </c>
      <c r="C2" t="s">
        <v>18</v>
      </c>
      <c r="D2" s="1">
        <v>39014</v>
      </c>
      <c r="E2">
        <v>1</v>
      </c>
      <c r="F2" t="s">
        <v>19</v>
      </c>
      <c r="G2" t="s">
        <v>20</v>
      </c>
      <c r="H2">
        <v>0.57499999999999996</v>
      </c>
      <c r="I2">
        <v>0.57999999999999996</v>
      </c>
      <c r="J2">
        <v>0.49099999999999999</v>
      </c>
      <c r="K2">
        <v>0</v>
      </c>
      <c r="L2">
        <v>0.121</v>
      </c>
      <c r="M2">
        <v>-6.4619999999999997</v>
      </c>
      <c r="N2">
        <v>2.5100000000000001E-2</v>
      </c>
      <c r="O2">
        <v>76.009</v>
      </c>
      <c r="P2">
        <v>0.42499999999999999</v>
      </c>
      <c r="Q2">
        <v>59</v>
      </c>
      <c r="R2">
        <f>IF(Q2&lt;69,0,1)</f>
        <v>0</v>
      </c>
      <c r="S2">
        <v>232106</v>
      </c>
    </row>
    <row r="3" spans="1:19" x14ac:dyDescent="0.45">
      <c r="A3">
        <v>2</v>
      </c>
      <c r="B3" t="s">
        <v>21</v>
      </c>
      <c r="C3" t="s">
        <v>18</v>
      </c>
      <c r="D3" s="1">
        <v>39014</v>
      </c>
      <c r="E3">
        <v>2</v>
      </c>
      <c r="F3" t="s">
        <v>22</v>
      </c>
      <c r="G3" t="s">
        <v>23</v>
      </c>
      <c r="H3">
        <v>0.17299999999999999</v>
      </c>
      <c r="I3">
        <v>0.65800000000000003</v>
      </c>
      <c r="J3">
        <v>0.877</v>
      </c>
      <c r="K3">
        <v>0</v>
      </c>
      <c r="L3">
        <v>9.6199999999999994E-2</v>
      </c>
      <c r="M3">
        <v>-2.0979999999999999</v>
      </c>
      <c r="N3">
        <v>3.2300000000000002E-2</v>
      </c>
      <c r="O3">
        <v>105.586</v>
      </c>
      <c r="P3">
        <v>0.82099999999999995</v>
      </c>
      <c r="Q3">
        <v>66</v>
      </c>
      <c r="R3">
        <f t="shared" ref="R3:R66" si="0">IF(Q3&lt;69,0,1)</f>
        <v>0</v>
      </c>
      <c r="S3">
        <v>173066</v>
      </c>
    </row>
    <row r="4" spans="1:19" x14ac:dyDescent="0.45">
      <c r="A4">
        <v>3</v>
      </c>
      <c r="B4" t="s">
        <v>24</v>
      </c>
      <c r="C4" t="s">
        <v>18</v>
      </c>
      <c r="D4" s="1">
        <v>39014</v>
      </c>
      <c r="E4">
        <v>3</v>
      </c>
      <c r="F4" t="s">
        <v>25</v>
      </c>
      <c r="G4" t="s">
        <v>26</v>
      </c>
      <c r="H4">
        <v>0.28799999999999998</v>
      </c>
      <c r="I4">
        <v>0.621</v>
      </c>
      <c r="J4">
        <v>0.41699999999999998</v>
      </c>
      <c r="K4">
        <v>0</v>
      </c>
      <c r="L4">
        <v>0.11899999999999999</v>
      </c>
      <c r="M4">
        <v>-6.9409999999999998</v>
      </c>
      <c r="N4">
        <v>2.3099999999999999E-2</v>
      </c>
      <c r="O4">
        <v>99.953000000000003</v>
      </c>
      <c r="P4">
        <v>0.28899999999999998</v>
      </c>
      <c r="Q4">
        <v>64</v>
      </c>
      <c r="R4">
        <f t="shared" si="0"/>
        <v>0</v>
      </c>
      <c r="S4">
        <v>203040</v>
      </c>
    </row>
    <row r="5" spans="1:19" x14ac:dyDescent="0.45">
      <c r="A5">
        <v>4</v>
      </c>
      <c r="B5" t="s">
        <v>27</v>
      </c>
      <c r="C5" t="s">
        <v>18</v>
      </c>
      <c r="D5" s="1">
        <v>39014</v>
      </c>
      <c r="E5">
        <v>4</v>
      </c>
      <c r="F5" t="s">
        <v>28</v>
      </c>
      <c r="G5" t="s">
        <v>29</v>
      </c>
      <c r="H5">
        <v>5.0999999999999997E-2</v>
      </c>
      <c r="I5">
        <v>0.57599999999999996</v>
      </c>
      <c r="J5">
        <v>0.77700000000000002</v>
      </c>
      <c r="K5">
        <v>0</v>
      </c>
      <c r="L5">
        <v>0.32</v>
      </c>
      <c r="M5">
        <v>-2.8809999999999998</v>
      </c>
      <c r="N5">
        <v>3.2399999999999998E-2</v>
      </c>
      <c r="O5">
        <v>115.02800000000001</v>
      </c>
      <c r="P5">
        <v>0.42799999999999999</v>
      </c>
      <c r="Q5">
        <v>59</v>
      </c>
      <c r="R5">
        <f t="shared" si="0"/>
        <v>0</v>
      </c>
      <c r="S5">
        <v>199200</v>
      </c>
    </row>
    <row r="6" spans="1:19" x14ac:dyDescent="0.45">
      <c r="A6">
        <v>5</v>
      </c>
      <c r="B6" t="s">
        <v>30</v>
      </c>
      <c r="C6" t="s">
        <v>18</v>
      </c>
      <c r="D6" s="1">
        <v>39014</v>
      </c>
      <c r="E6">
        <v>5</v>
      </c>
      <c r="F6" t="s">
        <v>31</v>
      </c>
      <c r="G6" t="s">
        <v>32</v>
      </c>
      <c r="H6">
        <v>0.217</v>
      </c>
      <c r="I6">
        <v>0.41799999999999998</v>
      </c>
      <c r="J6">
        <v>0.48199999999999998</v>
      </c>
      <c r="K6">
        <v>0</v>
      </c>
      <c r="L6">
        <v>0.123</v>
      </c>
      <c r="M6">
        <v>-5.7690000000000001</v>
      </c>
      <c r="N6">
        <v>2.6599999999999999E-2</v>
      </c>
      <c r="O6">
        <v>175.55799999999999</v>
      </c>
      <c r="P6">
        <v>0.26100000000000001</v>
      </c>
      <c r="Q6">
        <v>59</v>
      </c>
      <c r="R6">
        <f t="shared" si="0"/>
        <v>0</v>
      </c>
      <c r="S6">
        <v>239013</v>
      </c>
    </row>
    <row r="7" spans="1:19" x14ac:dyDescent="0.45">
      <c r="A7">
        <v>6</v>
      </c>
      <c r="B7" t="s">
        <v>33</v>
      </c>
      <c r="C7" t="s">
        <v>18</v>
      </c>
      <c r="D7" s="1">
        <v>39014</v>
      </c>
      <c r="E7">
        <v>6</v>
      </c>
      <c r="F7" t="s">
        <v>34</v>
      </c>
      <c r="G7" t="s">
        <v>35</v>
      </c>
      <c r="H7">
        <v>4.9100000000000003E-3</v>
      </c>
      <c r="I7">
        <v>0.58899999999999997</v>
      </c>
      <c r="J7">
        <v>0.80500000000000005</v>
      </c>
      <c r="K7">
        <v>0</v>
      </c>
      <c r="L7">
        <v>0.24</v>
      </c>
      <c r="M7">
        <v>-4.0549999999999997</v>
      </c>
      <c r="N7">
        <v>2.93E-2</v>
      </c>
      <c r="O7">
        <v>112.982</v>
      </c>
      <c r="P7">
        <v>0.59099999999999997</v>
      </c>
      <c r="Q7">
        <v>57</v>
      </c>
      <c r="R7">
        <f t="shared" si="0"/>
        <v>0</v>
      </c>
      <c r="S7">
        <v>207106</v>
      </c>
    </row>
    <row r="8" spans="1:19" x14ac:dyDescent="0.45">
      <c r="A8">
        <v>7</v>
      </c>
      <c r="B8" t="s">
        <v>36</v>
      </c>
      <c r="C8" t="s">
        <v>18</v>
      </c>
      <c r="D8" s="1">
        <v>39014</v>
      </c>
      <c r="E8">
        <v>7</v>
      </c>
      <c r="F8" t="s">
        <v>37</v>
      </c>
      <c r="G8" t="s">
        <v>38</v>
      </c>
      <c r="H8">
        <v>0.52500000000000002</v>
      </c>
      <c r="I8">
        <v>0.47899999999999998</v>
      </c>
      <c r="J8">
        <v>0.57799999999999996</v>
      </c>
      <c r="K8">
        <v>0</v>
      </c>
      <c r="L8">
        <v>8.4099999999999994E-2</v>
      </c>
      <c r="M8">
        <v>-4.9630000000000001</v>
      </c>
      <c r="N8">
        <v>2.9399999999999999E-2</v>
      </c>
      <c r="O8">
        <v>146.16499999999999</v>
      </c>
      <c r="P8">
        <v>0.192</v>
      </c>
      <c r="Q8">
        <v>57</v>
      </c>
      <c r="R8">
        <f t="shared" si="0"/>
        <v>0</v>
      </c>
      <c r="S8">
        <v>248106</v>
      </c>
    </row>
    <row r="9" spans="1:19" x14ac:dyDescent="0.45">
      <c r="A9">
        <v>8</v>
      </c>
      <c r="B9" t="s">
        <v>39</v>
      </c>
      <c r="C9" t="s">
        <v>18</v>
      </c>
      <c r="D9" s="1">
        <v>39014</v>
      </c>
      <c r="E9">
        <v>8</v>
      </c>
      <c r="F9" t="s">
        <v>40</v>
      </c>
      <c r="G9" t="s">
        <v>41</v>
      </c>
      <c r="H9">
        <v>8.6800000000000002E-2</v>
      </c>
      <c r="I9">
        <v>0.59399999999999997</v>
      </c>
      <c r="J9">
        <v>0.629</v>
      </c>
      <c r="K9">
        <v>0</v>
      </c>
      <c r="L9">
        <v>0.13700000000000001</v>
      </c>
      <c r="M9">
        <v>-4.9189999999999996</v>
      </c>
      <c r="N9">
        <v>2.46E-2</v>
      </c>
      <c r="O9">
        <v>131.59700000000001</v>
      </c>
      <c r="P9">
        <v>0.504</v>
      </c>
      <c r="Q9">
        <v>56</v>
      </c>
      <c r="R9">
        <f t="shared" si="0"/>
        <v>0</v>
      </c>
      <c r="S9">
        <v>236053</v>
      </c>
    </row>
    <row r="10" spans="1:19" x14ac:dyDescent="0.45">
      <c r="A10">
        <v>9</v>
      </c>
      <c r="B10" t="s">
        <v>42</v>
      </c>
      <c r="C10" t="s">
        <v>18</v>
      </c>
      <c r="D10" s="1">
        <v>39014</v>
      </c>
      <c r="E10">
        <v>9</v>
      </c>
      <c r="F10" t="s">
        <v>43</v>
      </c>
      <c r="G10" t="s">
        <v>44</v>
      </c>
      <c r="H10">
        <v>1.03E-2</v>
      </c>
      <c r="I10">
        <v>0.47599999999999998</v>
      </c>
      <c r="J10">
        <v>0.77700000000000002</v>
      </c>
      <c r="K10">
        <v>0</v>
      </c>
      <c r="L10">
        <v>0.19600000000000001</v>
      </c>
      <c r="M10">
        <v>-3.7709999999999999</v>
      </c>
      <c r="N10">
        <v>2.8899999999999999E-2</v>
      </c>
      <c r="O10">
        <v>167.964</v>
      </c>
      <c r="P10">
        <v>0.47199999999999998</v>
      </c>
      <c r="Q10">
        <v>64</v>
      </c>
      <c r="R10">
        <f t="shared" si="0"/>
        <v>0</v>
      </c>
      <c r="S10">
        <v>242200</v>
      </c>
    </row>
    <row r="11" spans="1:19" x14ac:dyDescent="0.45">
      <c r="A11">
        <v>10</v>
      </c>
      <c r="B11" t="s">
        <v>45</v>
      </c>
      <c r="C11" t="s">
        <v>18</v>
      </c>
      <c r="D11" s="1">
        <v>39014</v>
      </c>
      <c r="E11">
        <v>10</v>
      </c>
      <c r="F11" t="s">
        <v>46</v>
      </c>
      <c r="G11" t="s">
        <v>47</v>
      </c>
      <c r="H11">
        <v>1.77E-2</v>
      </c>
      <c r="I11">
        <v>0.40300000000000002</v>
      </c>
      <c r="J11">
        <v>0.627</v>
      </c>
      <c r="K11">
        <v>0</v>
      </c>
      <c r="L11">
        <v>0.182</v>
      </c>
      <c r="M11">
        <v>-5.28</v>
      </c>
      <c r="N11">
        <v>2.92E-2</v>
      </c>
      <c r="O11">
        <v>74.900000000000006</v>
      </c>
      <c r="P11">
        <v>0.374</v>
      </c>
      <c r="Q11">
        <v>59</v>
      </c>
      <c r="R11">
        <f t="shared" si="0"/>
        <v>0</v>
      </c>
      <c r="S11">
        <v>213080</v>
      </c>
    </row>
    <row r="12" spans="1:19" x14ac:dyDescent="0.45">
      <c r="A12">
        <v>11</v>
      </c>
      <c r="B12" t="s">
        <v>48</v>
      </c>
      <c r="C12" t="s">
        <v>18</v>
      </c>
      <c r="D12" s="1">
        <v>39014</v>
      </c>
      <c r="E12">
        <v>11</v>
      </c>
      <c r="F12" t="s">
        <v>49</v>
      </c>
      <c r="G12" t="s">
        <v>50</v>
      </c>
      <c r="H12">
        <v>0.111</v>
      </c>
      <c r="I12">
        <v>0.66800000000000004</v>
      </c>
      <c r="J12">
        <v>0.67200000000000004</v>
      </c>
      <c r="K12">
        <v>0</v>
      </c>
      <c r="L12">
        <v>0.32900000000000001</v>
      </c>
      <c r="M12">
        <v>-4.931</v>
      </c>
      <c r="N12">
        <v>3.0300000000000001E-2</v>
      </c>
      <c r="O12">
        <v>89.010999999999996</v>
      </c>
      <c r="P12">
        <v>0.53900000000000003</v>
      </c>
      <c r="Q12">
        <v>69</v>
      </c>
      <c r="R12">
        <f t="shared" si="0"/>
        <v>1</v>
      </c>
      <c r="S12">
        <v>201106</v>
      </c>
    </row>
    <row r="13" spans="1:19" x14ac:dyDescent="0.45">
      <c r="A13">
        <v>12</v>
      </c>
      <c r="B13" t="s">
        <v>51</v>
      </c>
      <c r="C13" t="s">
        <v>18</v>
      </c>
      <c r="D13" s="1">
        <v>39014</v>
      </c>
      <c r="E13">
        <v>12</v>
      </c>
      <c r="F13" t="s">
        <v>52</v>
      </c>
      <c r="G13" t="s">
        <v>53</v>
      </c>
      <c r="H13">
        <v>4.5199999999999997E-3</v>
      </c>
      <c r="I13">
        <v>0.56299999999999994</v>
      </c>
      <c r="J13">
        <v>0.93400000000000005</v>
      </c>
      <c r="K13">
        <v>8.0699999999999999E-4</v>
      </c>
      <c r="L13">
        <v>0.10299999999999999</v>
      </c>
      <c r="M13">
        <v>-3.629</v>
      </c>
      <c r="N13">
        <v>6.4600000000000005E-2</v>
      </c>
      <c r="O13">
        <v>143.964</v>
      </c>
      <c r="P13">
        <v>0.51800000000000002</v>
      </c>
      <c r="Q13">
        <v>59</v>
      </c>
      <c r="R13">
        <f t="shared" si="0"/>
        <v>0</v>
      </c>
      <c r="S13">
        <v>213053</v>
      </c>
    </row>
    <row r="14" spans="1:19" x14ac:dyDescent="0.45">
      <c r="A14">
        <v>13</v>
      </c>
      <c r="B14" t="s">
        <v>54</v>
      </c>
      <c r="C14" t="s">
        <v>18</v>
      </c>
      <c r="D14" s="1">
        <v>39014</v>
      </c>
      <c r="E14">
        <v>13</v>
      </c>
      <c r="F14" t="s">
        <v>55</v>
      </c>
      <c r="G14" t="s">
        <v>56</v>
      </c>
      <c r="H14">
        <v>0.63700000000000001</v>
      </c>
      <c r="I14">
        <v>0.61199999999999999</v>
      </c>
      <c r="J14">
        <v>0.39400000000000002</v>
      </c>
      <c r="K14">
        <v>0</v>
      </c>
      <c r="L14">
        <v>0.14699999999999999</v>
      </c>
      <c r="M14">
        <v>-5.7229999999999999</v>
      </c>
      <c r="N14">
        <v>2.4299999999999999E-2</v>
      </c>
      <c r="O14">
        <v>96.001000000000005</v>
      </c>
      <c r="P14">
        <v>0.23300000000000001</v>
      </c>
      <c r="Q14">
        <v>57</v>
      </c>
      <c r="R14">
        <f t="shared" si="0"/>
        <v>0</v>
      </c>
      <c r="S14">
        <v>203226</v>
      </c>
    </row>
    <row r="15" spans="1:19" x14ac:dyDescent="0.45">
      <c r="A15">
        <v>14</v>
      </c>
      <c r="B15" t="s">
        <v>57</v>
      </c>
      <c r="C15" t="s">
        <v>18</v>
      </c>
      <c r="D15" s="1">
        <v>39014</v>
      </c>
      <c r="E15">
        <v>14</v>
      </c>
      <c r="F15" t="s">
        <v>58</v>
      </c>
      <c r="G15" t="s">
        <v>59</v>
      </c>
      <c r="H15">
        <v>3.49E-3</v>
      </c>
      <c r="I15">
        <v>0.48299999999999998</v>
      </c>
      <c r="J15">
        <v>0.751</v>
      </c>
      <c r="K15">
        <v>0</v>
      </c>
      <c r="L15">
        <v>0.128</v>
      </c>
      <c r="M15">
        <v>-5.726</v>
      </c>
      <c r="N15">
        <v>3.6499999999999998E-2</v>
      </c>
      <c r="O15">
        <v>156.09200000000001</v>
      </c>
      <c r="P15">
        <v>0.26800000000000002</v>
      </c>
      <c r="Q15">
        <v>56</v>
      </c>
      <c r="R15">
        <f t="shared" si="0"/>
        <v>0</v>
      </c>
      <c r="S15">
        <v>220146</v>
      </c>
    </row>
    <row r="16" spans="1:19" x14ac:dyDescent="0.45">
      <c r="A16">
        <v>15</v>
      </c>
      <c r="B16" t="s">
        <v>60</v>
      </c>
      <c r="C16" t="s">
        <v>61</v>
      </c>
      <c r="D16" s="1">
        <v>39763</v>
      </c>
      <c r="E16">
        <v>1</v>
      </c>
      <c r="F16" t="s">
        <v>62</v>
      </c>
      <c r="G16" t="s">
        <v>63</v>
      </c>
      <c r="H16">
        <v>3.6400000000000002E-2</v>
      </c>
      <c r="I16">
        <v>0.59799999999999998</v>
      </c>
      <c r="J16">
        <v>0.71399999999999997</v>
      </c>
      <c r="K16" s="2">
        <v>1.04E-6</v>
      </c>
      <c r="L16">
        <v>0.31</v>
      </c>
      <c r="M16">
        <v>-4.3970000000000002</v>
      </c>
      <c r="N16">
        <v>2.7300000000000001E-2</v>
      </c>
      <c r="O16">
        <v>99.978999999999999</v>
      </c>
      <c r="P16">
        <v>0.46700000000000003</v>
      </c>
      <c r="Q16">
        <v>56</v>
      </c>
      <c r="R16">
        <f t="shared" si="0"/>
        <v>0</v>
      </c>
      <c r="S16">
        <v>242000</v>
      </c>
    </row>
    <row r="17" spans="1:19" x14ac:dyDescent="0.45">
      <c r="A17">
        <v>16</v>
      </c>
      <c r="B17" t="s">
        <v>64</v>
      </c>
      <c r="C17" t="s">
        <v>61</v>
      </c>
      <c r="D17" s="1">
        <v>39763</v>
      </c>
      <c r="E17">
        <v>2</v>
      </c>
      <c r="F17" t="s">
        <v>65</v>
      </c>
      <c r="G17" t="s">
        <v>66</v>
      </c>
      <c r="H17">
        <v>7.2800000000000004E-2</v>
      </c>
      <c r="I17">
        <v>0.55900000000000005</v>
      </c>
      <c r="J17">
        <v>0.63600000000000001</v>
      </c>
      <c r="K17">
        <v>0</v>
      </c>
      <c r="L17">
        <v>0.14399999999999999</v>
      </c>
      <c r="M17">
        <v>-4.4000000000000004</v>
      </c>
      <c r="N17">
        <v>2.63E-2</v>
      </c>
      <c r="O17">
        <v>95.484999999999999</v>
      </c>
      <c r="P17">
        <v>0.214</v>
      </c>
      <c r="Q17">
        <v>45</v>
      </c>
      <c r="R17">
        <f t="shared" si="0"/>
        <v>0</v>
      </c>
      <c r="S17">
        <v>294346</v>
      </c>
    </row>
    <row r="18" spans="1:19" x14ac:dyDescent="0.45">
      <c r="A18">
        <v>17</v>
      </c>
      <c r="B18" t="s">
        <v>67</v>
      </c>
      <c r="C18" t="s">
        <v>61</v>
      </c>
      <c r="D18" s="1">
        <v>39763</v>
      </c>
      <c r="E18">
        <v>3</v>
      </c>
      <c r="F18" t="s">
        <v>68</v>
      </c>
      <c r="G18" t="s">
        <v>69</v>
      </c>
      <c r="H18">
        <v>0.157</v>
      </c>
      <c r="I18">
        <v>0.61799999999999999</v>
      </c>
      <c r="J18">
        <v>0.73599999999999999</v>
      </c>
      <c r="K18">
        <v>0</v>
      </c>
      <c r="L18">
        <v>7.2999999999999995E-2</v>
      </c>
      <c r="M18">
        <v>-3.9369999999999998</v>
      </c>
      <c r="N18">
        <v>3.0800000000000001E-2</v>
      </c>
      <c r="O18">
        <v>118.982</v>
      </c>
      <c r="P18">
        <v>0.307</v>
      </c>
      <c r="Q18">
        <v>61</v>
      </c>
      <c r="R18">
        <f t="shared" si="0"/>
        <v>0</v>
      </c>
      <c r="S18">
        <v>235280</v>
      </c>
    </row>
    <row r="19" spans="1:19" x14ac:dyDescent="0.45">
      <c r="A19">
        <v>18</v>
      </c>
      <c r="B19" t="s">
        <v>70</v>
      </c>
      <c r="C19" t="s">
        <v>61</v>
      </c>
      <c r="D19" s="1">
        <v>39763</v>
      </c>
      <c r="E19">
        <v>4</v>
      </c>
      <c r="F19" t="s">
        <v>71</v>
      </c>
      <c r="G19" t="s">
        <v>72</v>
      </c>
      <c r="H19">
        <v>0.16800000000000001</v>
      </c>
      <c r="I19">
        <v>0.84299999999999997</v>
      </c>
      <c r="J19">
        <v>0.55300000000000005</v>
      </c>
      <c r="K19" s="2">
        <v>2.6599999999999999E-6</v>
      </c>
      <c r="L19">
        <v>0.107</v>
      </c>
      <c r="M19">
        <v>-7.3479999999999999</v>
      </c>
      <c r="N19">
        <v>3.1699999999999999E-2</v>
      </c>
      <c r="O19">
        <v>115.997</v>
      </c>
      <c r="P19">
        <v>0.82499999999999996</v>
      </c>
      <c r="Q19">
        <v>48</v>
      </c>
      <c r="R19">
        <f t="shared" si="0"/>
        <v>0</v>
      </c>
      <c r="S19">
        <v>254320</v>
      </c>
    </row>
    <row r="20" spans="1:19" x14ac:dyDescent="0.45">
      <c r="A20">
        <v>19</v>
      </c>
      <c r="B20" t="s">
        <v>73</v>
      </c>
      <c r="C20" t="s">
        <v>61</v>
      </c>
      <c r="D20" s="1">
        <v>39763</v>
      </c>
      <c r="E20">
        <v>5</v>
      </c>
      <c r="F20" t="s">
        <v>74</v>
      </c>
      <c r="G20" t="s">
        <v>75</v>
      </c>
      <c r="H20">
        <v>0.30199999999999999</v>
      </c>
      <c r="I20">
        <v>0.58499999999999996</v>
      </c>
      <c r="J20">
        <v>0.34599999999999997</v>
      </c>
      <c r="K20">
        <v>0</v>
      </c>
      <c r="L20">
        <v>0.10199999999999999</v>
      </c>
      <c r="M20">
        <v>-8.0139999999999993</v>
      </c>
      <c r="N20">
        <v>2.5600000000000001E-2</v>
      </c>
      <c r="O20">
        <v>92.563999999999993</v>
      </c>
      <c r="P20">
        <v>0.19500000000000001</v>
      </c>
      <c r="Q20">
        <v>44</v>
      </c>
      <c r="R20">
        <f t="shared" si="0"/>
        <v>0</v>
      </c>
      <c r="S20">
        <v>234440</v>
      </c>
    </row>
    <row r="21" spans="1:19" x14ac:dyDescent="0.45">
      <c r="A21">
        <v>20</v>
      </c>
      <c r="B21" t="s">
        <v>76</v>
      </c>
      <c r="C21" t="s">
        <v>61</v>
      </c>
      <c r="D21" s="1">
        <v>39763</v>
      </c>
      <c r="E21">
        <v>6</v>
      </c>
      <c r="F21" t="s">
        <v>77</v>
      </c>
      <c r="G21" t="s">
        <v>78</v>
      </c>
      <c r="H21">
        <v>0.16400000000000001</v>
      </c>
      <c r="I21">
        <v>0.68700000000000006</v>
      </c>
      <c r="J21">
        <v>0.77100000000000002</v>
      </c>
      <c r="K21" s="2">
        <v>2.4600000000000002E-5</v>
      </c>
      <c r="L21">
        <v>0.112</v>
      </c>
      <c r="M21">
        <v>-4.4240000000000004</v>
      </c>
      <c r="N21">
        <v>3.8399999999999997E-2</v>
      </c>
      <c r="O21">
        <v>129.964</v>
      </c>
      <c r="P21">
        <v>0.44500000000000001</v>
      </c>
      <c r="Q21">
        <v>61</v>
      </c>
      <c r="R21">
        <f t="shared" si="0"/>
        <v>0</v>
      </c>
      <c r="S21">
        <v>231146</v>
      </c>
    </row>
    <row r="22" spans="1:19" x14ac:dyDescent="0.45">
      <c r="A22">
        <v>21</v>
      </c>
      <c r="B22" t="s">
        <v>79</v>
      </c>
      <c r="C22" t="s">
        <v>61</v>
      </c>
      <c r="D22" s="1">
        <v>39763</v>
      </c>
      <c r="E22">
        <v>7</v>
      </c>
      <c r="F22" t="s">
        <v>80</v>
      </c>
      <c r="G22" t="s">
        <v>81</v>
      </c>
      <c r="H22">
        <v>0.373</v>
      </c>
      <c r="I22">
        <v>0.498</v>
      </c>
      <c r="J22">
        <v>0.48599999999999999</v>
      </c>
      <c r="K22">
        <v>0</v>
      </c>
      <c r="L22">
        <v>0.113</v>
      </c>
      <c r="M22">
        <v>-7.3840000000000003</v>
      </c>
      <c r="N22">
        <v>2.7300000000000001E-2</v>
      </c>
      <c r="O22">
        <v>147.952</v>
      </c>
      <c r="P22">
        <v>0.17</v>
      </c>
      <c r="Q22">
        <v>43</v>
      </c>
      <c r="R22">
        <f t="shared" si="0"/>
        <v>0</v>
      </c>
      <c r="S22">
        <v>263986</v>
      </c>
    </row>
    <row r="23" spans="1:19" x14ac:dyDescent="0.45">
      <c r="A23">
        <v>22</v>
      </c>
      <c r="B23" t="s">
        <v>82</v>
      </c>
      <c r="C23" t="s">
        <v>61</v>
      </c>
      <c r="D23" s="1">
        <v>39763</v>
      </c>
      <c r="E23">
        <v>8</v>
      </c>
      <c r="F23" t="s">
        <v>83</v>
      </c>
      <c r="G23" t="s">
        <v>84</v>
      </c>
      <c r="H23">
        <v>6.0600000000000001E-2</v>
      </c>
      <c r="I23">
        <v>0.60099999999999998</v>
      </c>
      <c r="J23">
        <v>0.85199999999999998</v>
      </c>
      <c r="K23" s="2">
        <v>3.41E-6</v>
      </c>
      <c r="L23">
        <v>0.37</v>
      </c>
      <c r="M23">
        <v>-3.0960000000000001</v>
      </c>
      <c r="N23">
        <v>3.8600000000000002E-2</v>
      </c>
      <c r="O23">
        <v>100.015</v>
      </c>
      <c r="P23">
        <v>0.51300000000000001</v>
      </c>
      <c r="Q23">
        <v>46</v>
      </c>
      <c r="R23">
        <f t="shared" si="0"/>
        <v>0</v>
      </c>
      <c r="S23">
        <v>200560</v>
      </c>
    </row>
    <row r="24" spans="1:19" x14ac:dyDescent="0.45">
      <c r="A24">
        <v>23</v>
      </c>
      <c r="B24" t="s">
        <v>85</v>
      </c>
      <c r="C24" t="s">
        <v>61</v>
      </c>
      <c r="D24" s="1">
        <v>39763</v>
      </c>
      <c r="E24">
        <v>9</v>
      </c>
      <c r="F24" t="s">
        <v>86</v>
      </c>
      <c r="G24" t="s">
        <v>87</v>
      </c>
      <c r="H24">
        <v>0.13</v>
      </c>
      <c r="I24">
        <v>0.45900000000000002</v>
      </c>
      <c r="J24">
        <v>0.45900000000000002</v>
      </c>
      <c r="K24" s="2">
        <v>2.3E-6</v>
      </c>
      <c r="L24">
        <v>0.113</v>
      </c>
      <c r="M24">
        <v>-4.1260000000000003</v>
      </c>
      <c r="N24">
        <v>2.75E-2</v>
      </c>
      <c r="O24">
        <v>134.018</v>
      </c>
      <c r="P24">
        <v>0.28100000000000003</v>
      </c>
      <c r="Q24">
        <v>48</v>
      </c>
      <c r="R24">
        <f t="shared" si="0"/>
        <v>0</v>
      </c>
      <c r="S24">
        <v>261800</v>
      </c>
    </row>
    <row r="25" spans="1:19" x14ac:dyDescent="0.45">
      <c r="A25">
        <v>24</v>
      </c>
      <c r="B25" t="s">
        <v>88</v>
      </c>
      <c r="C25" t="s">
        <v>61</v>
      </c>
      <c r="D25" s="1">
        <v>39763</v>
      </c>
      <c r="E25">
        <v>10</v>
      </c>
      <c r="F25" t="s">
        <v>89</v>
      </c>
      <c r="G25" t="s">
        <v>90</v>
      </c>
      <c r="H25">
        <v>3.2199999999999999E-2</v>
      </c>
      <c r="I25">
        <v>0.436</v>
      </c>
      <c r="J25">
        <v>0.71199999999999997</v>
      </c>
      <c r="K25">
        <v>0</v>
      </c>
      <c r="L25">
        <v>0.111</v>
      </c>
      <c r="M25">
        <v>-3.6890000000000001</v>
      </c>
      <c r="N25">
        <v>3.2899999999999999E-2</v>
      </c>
      <c r="O25">
        <v>160.886</v>
      </c>
      <c r="P25">
        <v>0.379</v>
      </c>
      <c r="Q25">
        <v>55</v>
      </c>
      <c r="R25">
        <f t="shared" si="0"/>
        <v>0</v>
      </c>
      <c r="S25">
        <v>244240</v>
      </c>
    </row>
    <row r="26" spans="1:19" x14ac:dyDescent="0.45">
      <c r="A26">
        <v>25</v>
      </c>
      <c r="B26" t="s">
        <v>91</v>
      </c>
      <c r="C26" t="s">
        <v>61</v>
      </c>
      <c r="D26" s="1">
        <v>39763</v>
      </c>
      <c r="E26">
        <v>11</v>
      </c>
      <c r="F26" t="s">
        <v>92</v>
      </c>
      <c r="G26" t="s">
        <v>93</v>
      </c>
      <c r="H26">
        <v>9.0700000000000003E-2</v>
      </c>
      <c r="I26">
        <v>0.60499999999999998</v>
      </c>
      <c r="J26">
        <v>0.82899999999999996</v>
      </c>
      <c r="K26">
        <v>0</v>
      </c>
      <c r="L26">
        <v>0.106</v>
      </c>
      <c r="M26">
        <v>-4.9930000000000003</v>
      </c>
      <c r="N26">
        <v>5.4899999999999997E-2</v>
      </c>
      <c r="O26">
        <v>128.012</v>
      </c>
      <c r="P26">
        <v>0.51400000000000001</v>
      </c>
      <c r="Q26">
        <v>49</v>
      </c>
      <c r="R26">
        <f t="shared" si="0"/>
        <v>0</v>
      </c>
      <c r="S26">
        <v>225333</v>
      </c>
    </row>
    <row r="27" spans="1:19" x14ac:dyDescent="0.45">
      <c r="A27">
        <v>26</v>
      </c>
      <c r="B27" t="s">
        <v>94</v>
      </c>
      <c r="C27" t="s">
        <v>61</v>
      </c>
      <c r="D27" s="1">
        <v>39763</v>
      </c>
      <c r="E27">
        <v>12</v>
      </c>
      <c r="F27" t="s">
        <v>95</v>
      </c>
      <c r="G27" t="s">
        <v>96</v>
      </c>
      <c r="H27">
        <v>0.61099999999999999</v>
      </c>
      <c r="I27">
        <v>0.66400000000000003</v>
      </c>
      <c r="J27">
        <v>0.44700000000000001</v>
      </c>
      <c r="K27" s="2">
        <v>9.9999999999999995E-7</v>
      </c>
      <c r="L27">
        <v>0.13900000000000001</v>
      </c>
      <c r="M27">
        <v>-8.5350000000000001</v>
      </c>
      <c r="N27">
        <v>2.92E-2</v>
      </c>
      <c r="O27">
        <v>126.07899999999999</v>
      </c>
      <c r="P27">
        <v>0.36399999999999999</v>
      </c>
      <c r="Q27">
        <v>43</v>
      </c>
      <c r="R27">
        <f t="shared" si="0"/>
        <v>0</v>
      </c>
      <c r="S27">
        <v>245346</v>
      </c>
    </row>
    <row r="28" spans="1:19" x14ac:dyDescent="0.45">
      <c r="A28">
        <v>27</v>
      </c>
      <c r="B28" t="s">
        <v>97</v>
      </c>
      <c r="C28" t="s">
        <v>61</v>
      </c>
      <c r="D28" s="1">
        <v>39763</v>
      </c>
      <c r="E28">
        <v>13</v>
      </c>
      <c r="F28" t="s">
        <v>98</v>
      </c>
      <c r="G28" t="s">
        <v>99</v>
      </c>
      <c r="H28">
        <v>4.7099999999999998E-3</v>
      </c>
      <c r="I28">
        <v>0.54800000000000004</v>
      </c>
      <c r="J28">
        <v>0.75600000000000001</v>
      </c>
      <c r="K28">
        <v>0</v>
      </c>
      <c r="L28">
        <v>0.11700000000000001</v>
      </c>
      <c r="M28">
        <v>-4.1749999999999998</v>
      </c>
      <c r="N28">
        <v>3.5999999999999997E-2</v>
      </c>
      <c r="O28">
        <v>96.037999999999997</v>
      </c>
      <c r="P28">
        <v>0.224</v>
      </c>
      <c r="Q28">
        <v>45</v>
      </c>
      <c r="R28">
        <f t="shared" si="0"/>
        <v>0</v>
      </c>
      <c r="S28">
        <v>281053</v>
      </c>
    </row>
    <row r="29" spans="1:19" x14ac:dyDescent="0.45">
      <c r="A29">
        <v>28</v>
      </c>
      <c r="B29" t="s">
        <v>100</v>
      </c>
      <c r="C29" t="s">
        <v>61</v>
      </c>
      <c r="D29" s="1">
        <v>39763</v>
      </c>
      <c r="E29">
        <v>14</v>
      </c>
      <c r="F29" t="s">
        <v>101</v>
      </c>
      <c r="G29" t="s">
        <v>102</v>
      </c>
      <c r="H29">
        <v>0.111</v>
      </c>
      <c r="I29">
        <v>0.61799999999999999</v>
      </c>
      <c r="J29">
        <v>0.68700000000000006</v>
      </c>
      <c r="K29">
        <v>0</v>
      </c>
      <c r="L29">
        <v>6.93E-2</v>
      </c>
      <c r="M29">
        <v>-5.7370000000000001</v>
      </c>
      <c r="N29">
        <v>2.7099999999999999E-2</v>
      </c>
      <c r="O29">
        <v>79.991</v>
      </c>
      <c r="P29">
        <v>0.82</v>
      </c>
      <c r="Q29">
        <v>46</v>
      </c>
      <c r="R29">
        <f t="shared" si="0"/>
        <v>0</v>
      </c>
      <c r="S29">
        <v>237066</v>
      </c>
    </row>
    <row r="30" spans="1:19" x14ac:dyDescent="0.45">
      <c r="A30">
        <v>29</v>
      </c>
      <c r="B30" t="s">
        <v>103</v>
      </c>
      <c r="C30" t="s">
        <v>61</v>
      </c>
      <c r="D30" s="1">
        <v>39763</v>
      </c>
      <c r="E30">
        <v>15</v>
      </c>
      <c r="F30" t="s">
        <v>104</v>
      </c>
      <c r="G30" t="s">
        <v>105</v>
      </c>
      <c r="H30">
        <v>5.8299999999999998E-2</v>
      </c>
      <c r="I30">
        <v>0.41899999999999998</v>
      </c>
      <c r="J30">
        <v>0.45400000000000001</v>
      </c>
      <c r="K30" s="2">
        <v>3.7799999999999998E-6</v>
      </c>
      <c r="L30">
        <v>9.74E-2</v>
      </c>
      <c r="M30">
        <v>-6.8090000000000002</v>
      </c>
      <c r="N30">
        <v>3.3500000000000002E-2</v>
      </c>
      <c r="O30">
        <v>200.017</v>
      </c>
      <c r="P30">
        <v>0.28799999999999998</v>
      </c>
      <c r="Q30">
        <v>48</v>
      </c>
      <c r="R30">
        <f t="shared" si="0"/>
        <v>0</v>
      </c>
      <c r="S30">
        <v>311040</v>
      </c>
    </row>
    <row r="31" spans="1:19" x14ac:dyDescent="0.45">
      <c r="A31">
        <v>30</v>
      </c>
      <c r="B31" t="s">
        <v>106</v>
      </c>
      <c r="C31" t="s">
        <v>61</v>
      </c>
      <c r="D31" s="1">
        <v>39763</v>
      </c>
      <c r="E31">
        <v>16</v>
      </c>
      <c r="F31" t="s">
        <v>107</v>
      </c>
      <c r="G31" t="s">
        <v>108</v>
      </c>
      <c r="H31">
        <v>0.85199999999999998</v>
      </c>
      <c r="I31">
        <v>0.59199999999999997</v>
      </c>
      <c r="J31">
        <v>0.16</v>
      </c>
      <c r="K31">
        <v>0</v>
      </c>
      <c r="L31">
        <v>0.11600000000000001</v>
      </c>
      <c r="M31">
        <v>-10.785</v>
      </c>
      <c r="N31">
        <v>3.4700000000000002E-2</v>
      </c>
      <c r="O31">
        <v>118.929</v>
      </c>
      <c r="P31">
        <v>0.29399999999999998</v>
      </c>
      <c r="Q31">
        <v>46</v>
      </c>
      <c r="R31">
        <f t="shared" si="0"/>
        <v>0</v>
      </c>
      <c r="S31">
        <v>267506</v>
      </c>
    </row>
    <row r="32" spans="1:19" x14ac:dyDescent="0.45">
      <c r="A32">
        <v>31</v>
      </c>
      <c r="B32" t="s">
        <v>109</v>
      </c>
      <c r="C32" t="s">
        <v>61</v>
      </c>
      <c r="D32" s="1">
        <v>39763</v>
      </c>
      <c r="E32">
        <v>17</v>
      </c>
      <c r="F32" t="s">
        <v>110</v>
      </c>
      <c r="G32" t="s">
        <v>111</v>
      </c>
      <c r="H32">
        <v>9.6100000000000005E-2</v>
      </c>
      <c r="I32">
        <v>0.52700000000000002</v>
      </c>
      <c r="J32">
        <v>0.46100000000000002</v>
      </c>
      <c r="K32" s="2">
        <v>2.4700000000000001E-6</v>
      </c>
      <c r="L32">
        <v>0.24</v>
      </c>
      <c r="M32">
        <v>-6.1719999999999997</v>
      </c>
      <c r="N32">
        <v>2.5600000000000001E-2</v>
      </c>
      <c r="O32">
        <v>143.94</v>
      </c>
      <c r="P32">
        <v>0.23</v>
      </c>
      <c r="Q32">
        <v>44</v>
      </c>
      <c r="R32">
        <f t="shared" si="0"/>
        <v>0</v>
      </c>
      <c r="S32">
        <v>238093</v>
      </c>
    </row>
    <row r="33" spans="1:19" x14ac:dyDescent="0.45">
      <c r="A33">
        <v>32</v>
      </c>
      <c r="B33" t="s">
        <v>112</v>
      </c>
      <c r="C33" t="s">
        <v>61</v>
      </c>
      <c r="D33" s="1">
        <v>39763</v>
      </c>
      <c r="E33">
        <v>18</v>
      </c>
      <c r="F33" t="s">
        <v>113</v>
      </c>
      <c r="G33" t="s">
        <v>114</v>
      </c>
      <c r="H33">
        <v>0.36699999999999999</v>
      </c>
      <c r="I33">
        <v>0.61</v>
      </c>
      <c r="J33">
        <v>0.53100000000000003</v>
      </c>
      <c r="K33">
        <v>0</v>
      </c>
      <c r="L33">
        <v>0.35099999999999998</v>
      </c>
      <c r="M33">
        <v>-6.1230000000000002</v>
      </c>
      <c r="N33">
        <v>2.3900000000000001E-2</v>
      </c>
      <c r="O33">
        <v>85.978999999999999</v>
      </c>
      <c r="P33">
        <v>0.22800000000000001</v>
      </c>
      <c r="Q33">
        <v>43</v>
      </c>
      <c r="R33">
        <f t="shared" si="0"/>
        <v>0</v>
      </c>
      <c r="S33">
        <v>261453</v>
      </c>
    </row>
    <row r="34" spans="1:19" x14ac:dyDescent="0.45">
      <c r="A34">
        <v>33</v>
      </c>
      <c r="B34" t="s">
        <v>115</v>
      </c>
      <c r="C34" t="s">
        <v>61</v>
      </c>
      <c r="D34" s="1">
        <v>39763</v>
      </c>
      <c r="E34">
        <v>19</v>
      </c>
      <c r="F34" t="s">
        <v>116</v>
      </c>
      <c r="G34" t="s">
        <v>117</v>
      </c>
      <c r="H34">
        <v>0.16900000000000001</v>
      </c>
      <c r="I34">
        <v>0.47599999999999998</v>
      </c>
      <c r="J34">
        <v>0.81599999999999995</v>
      </c>
      <c r="K34">
        <v>0</v>
      </c>
      <c r="L34">
        <v>0.23799999999999999</v>
      </c>
      <c r="M34">
        <v>-4.2789999999999999</v>
      </c>
      <c r="N34">
        <v>3.4700000000000002E-2</v>
      </c>
      <c r="O34">
        <v>163.84700000000001</v>
      </c>
      <c r="P34">
        <v>0.46899999999999997</v>
      </c>
      <c r="Q34">
        <v>44</v>
      </c>
      <c r="R34">
        <f t="shared" si="0"/>
        <v>0</v>
      </c>
      <c r="S34">
        <v>237600</v>
      </c>
    </row>
    <row r="35" spans="1:19" x14ac:dyDescent="0.45">
      <c r="A35">
        <v>34</v>
      </c>
      <c r="B35" t="s">
        <v>118</v>
      </c>
      <c r="C35" t="s">
        <v>119</v>
      </c>
      <c r="D35" s="1">
        <v>40476</v>
      </c>
      <c r="E35">
        <v>1</v>
      </c>
      <c r="F35" t="s">
        <v>120</v>
      </c>
      <c r="G35" t="s">
        <v>121</v>
      </c>
      <c r="H35">
        <v>4.6100000000000004E-3</v>
      </c>
      <c r="I35">
        <v>0.69599999999999995</v>
      </c>
      <c r="J35">
        <v>0.76800000000000002</v>
      </c>
      <c r="K35" s="2">
        <v>1.2100000000000001E-6</v>
      </c>
      <c r="L35">
        <v>0.10100000000000001</v>
      </c>
      <c r="M35">
        <v>-3.863</v>
      </c>
      <c r="N35">
        <v>3.0800000000000001E-2</v>
      </c>
      <c r="O35">
        <v>121.05</v>
      </c>
      <c r="P35">
        <v>0.69199999999999995</v>
      </c>
      <c r="Q35">
        <v>51</v>
      </c>
      <c r="R35">
        <f t="shared" si="0"/>
        <v>0</v>
      </c>
      <c r="S35">
        <v>230546</v>
      </c>
    </row>
    <row r="36" spans="1:19" x14ac:dyDescent="0.45">
      <c r="A36">
        <v>35</v>
      </c>
      <c r="B36" t="s">
        <v>122</v>
      </c>
      <c r="C36" t="s">
        <v>119</v>
      </c>
      <c r="D36" s="1">
        <v>40476</v>
      </c>
      <c r="E36">
        <v>2</v>
      </c>
      <c r="F36" t="s">
        <v>123</v>
      </c>
      <c r="G36" t="s">
        <v>124</v>
      </c>
      <c r="H36">
        <v>3.8699999999999998E-2</v>
      </c>
      <c r="I36">
        <v>0.60799999999999998</v>
      </c>
      <c r="J36">
        <v>0.78500000000000003</v>
      </c>
      <c r="K36">
        <v>0</v>
      </c>
      <c r="L36">
        <v>0.158</v>
      </c>
      <c r="M36">
        <v>-2.976</v>
      </c>
      <c r="N36">
        <v>3.1099999999999999E-2</v>
      </c>
      <c r="O36">
        <v>114.985</v>
      </c>
      <c r="P36">
        <v>0.376</v>
      </c>
      <c r="Q36">
        <v>61</v>
      </c>
      <c r="R36">
        <f t="shared" si="0"/>
        <v>0</v>
      </c>
      <c r="S36">
        <v>260946</v>
      </c>
    </row>
    <row r="37" spans="1:19" x14ac:dyDescent="0.45">
      <c r="A37">
        <v>36</v>
      </c>
      <c r="B37" t="s">
        <v>125</v>
      </c>
      <c r="C37" t="s">
        <v>119</v>
      </c>
      <c r="D37" s="1">
        <v>40476</v>
      </c>
      <c r="E37">
        <v>3</v>
      </c>
      <c r="F37" t="s">
        <v>126</v>
      </c>
      <c r="G37" t="s">
        <v>127</v>
      </c>
      <c r="H37">
        <v>2.0199999999999999E-2</v>
      </c>
      <c r="I37">
        <v>0.51700000000000002</v>
      </c>
      <c r="J37">
        <v>0.60599999999999998</v>
      </c>
      <c r="K37">
        <v>0</v>
      </c>
      <c r="L37">
        <v>0.32400000000000001</v>
      </c>
      <c r="M37">
        <v>-5.7969999999999997</v>
      </c>
      <c r="N37">
        <v>2.8899999999999999E-2</v>
      </c>
      <c r="O37">
        <v>141.929</v>
      </c>
      <c r="P37">
        <v>0.29599999999999999</v>
      </c>
      <c r="Q37">
        <v>70</v>
      </c>
      <c r="R37">
        <f t="shared" si="0"/>
        <v>1</v>
      </c>
      <c r="S37">
        <v>293040</v>
      </c>
    </row>
    <row r="38" spans="1:19" x14ac:dyDescent="0.45">
      <c r="A38">
        <v>37</v>
      </c>
      <c r="B38" t="s">
        <v>119</v>
      </c>
      <c r="C38" t="s">
        <v>119</v>
      </c>
      <c r="D38" s="1">
        <v>40476</v>
      </c>
      <c r="E38">
        <v>4</v>
      </c>
      <c r="F38" t="s">
        <v>128</v>
      </c>
      <c r="G38" t="s">
        <v>129</v>
      </c>
      <c r="H38">
        <v>0.10100000000000001</v>
      </c>
      <c r="I38">
        <v>0.70799999999999996</v>
      </c>
      <c r="J38">
        <v>0.60099999999999998</v>
      </c>
      <c r="K38">
        <v>0</v>
      </c>
      <c r="L38">
        <v>9.7900000000000001E-2</v>
      </c>
      <c r="M38">
        <v>-3.75</v>
      </c>
      <c r="N38">
        <v>3.0599999999999999E-2</v>
      </c>
      <c r="O38">
        <v>118.962</v>
      </c>
      <c r="P38">
        <v>0.74199999999999999</v>
      </c>
      <c r="Q38">
        <v>61</v>
      </c>
      <c r="R38">
        <f t="shared" si="0"/>
        <v>0</v>
      </c>
      <c r="S38">
        <v>240773</v>
      </c>
    </row>
    <row r="39" spans="1:19" x14ac:dyDescent="0.45">
      <c r="A39">
        <v>38</v>
      </c>
      <c r="B39" t="s">
        <v>130</v>
      </c>
      <c r="C39" t="s">
        <v>119</v>
      </c>
      <c r="D39" s="1">
        <v>40476</v>
      </c>
      <c r="E39">
        <v>5</v>
      </c>
      <c r="F39" t="s">
        <v>131</v>
      </c>
      <c r="G39" t="s">
        <v>132</v>
      </c>
      <c r="H39">
        <v>0.183</v>
      </c>
      <c r="I39">
        <v>0.58299999999999996</v>
      </c>
      <c r="J39">
        <v>0.46800000000000003</v>
      </c>
      <c r="K39" s="2">
        <v>1.6500000000000001E-6</v>
      </c>
      <c r="L39">
        <v>0.111</v>
      </c>
      <c r="M39">
        <v>-5.3780000000000001</v>
      </c>
      <c r="N39">
        <v>2.7799999999999998E-2</v>
      </c>
      <c r="O39">
        <v>119.375</v>
      </c>
      <c r="P39">
        <v>0.126</v>
      </c>
      <c r="Q39">
        <v>56</v>
      </c>
      <c r="R39">
        <f t="shared" si="0"/>
        <v>0</v>
      </c>
      <c r="S39">
        <v>403933</v>
      </c>
    </row>
    <row r="40" spans="1:19" x14ac:dyDescent="0.45">
      <c r="A40">
        <v>39</v>
      </c>
      <c r="B40" t="s">
        <v>133</v>
      </c>
      <c r="C40" t="s">
        <v>119</v>
      </c>
      <c r="D40" s="1">
        <v>40476</v>
      </c>
      <c r="E40">
        <v>6</v>
      </c>
      <c r="F40" t="s">
        <v>134</v>
      </c>
      <c r="G40" t="s">
        <v>135</v>
      </c>
      <c r="H40">
        <v>0.44500000000000001</v>
      </c>
      <c r="I40">
        <v>0.56999999999999995</v>
      </c>
      <c r="J40">
        <v>0.747</v>
      </c>
      <c r="K40">
        <v>0</v>
      </c>
      <c r="L40">
        <v>0.219</v>
      </c>
      <c r="M40">
        <v>-3.9780000000000002</v>
      </c>
      <c r="N40">
        <v>4.2599999999999999E-2</v>
      </c>
      <c r="O40">
        <v>164.00399999999999</v>
      </c>
      <c r="P40">
        <v>0.80800000000000005</v>
      </c>
      <c r="Q40">
        <v>57</v>
      </c>
      <c r="R40">
        <f t="shared" si="0"/>
        <v>0</v>
      </c>
      <c r="S40">
        <v>237746</v>
      </c>
    </row>
    <row r="41" spans="1:19" x14ac:dyDescent="0.45">
      <c r="A41">
        <v>40</v>
      </c>
      <c r="B41" t="s">
        <v>136</v>
      </c>
      <c r="C41" t="s">
        <v>119</v>
      </c>
      <c r="D41" s="1">
        <v>40476</v>
      </c>
      <c r="E41">
        <v>7</v>
      </c>
      <c r="F41" t="s">
        <v>137</v>
      </c>
      <c r="G41" t="s">
        <v>138</v>
      </c>
      <c r="H41">
        <v>3.1500000000000001E-4</v>
      </c>
      <c r="I41">
        <v>0.57499999999999996</v>
      </c>
      <c r="J41">
        <v>0.85499999999999998</v>
      </c>
      <c r="K41">
        <v>1.6100000000000001E-3</v>
      </c>
      <c r="L41">
        <v>4.19E-2</v>
      </c>
      <c r="M41">
        <v>-4.827</v>
      </c>
      <c r="N41">
        <v>4.6699999999999998E-2</v>
      </c>
      <c r="O41">
        <v>139.91999999999999</v>
      </c>
      <c r="P41">
        <v>0.84</v>
      </c>
      <c r="Q41">
        <v>58</v>
      </c>
      <c r="R41">
        <f t="shared" si="0"/>
        <v>0</v>
      </c>
      <c r="S41">
        <v>265680</v>
      </c>
    </row>
    <row r="42" spans="1:19" x14ac:dyDescent="0.45">
      <c r="A42">
        <v>41</v>
      </c>
      <c r="B42" t="s">
        <v>139</v>
      </c>
      <c r="C42" t="s">
        <v>119</v>
      </c>
      <c r="D42" s="1">
        <v>40476</v>
      </c>
      <c r="E42">
        <v>8</v>
      </c>
      <c r="F42" t="s">
        <v>140</v>
      </c>
      <c r="G42" t="s">
        <v>141</v>
      </c>
      <c r="H42">
        <v>0.82899999999999996</v>
      </c>
      <c r="I42">
        <v>0.71499999999999997</v>
      </c>
      <c r="J42">
        <v>0.308</v>
      </c>
      <c r="K42">
        <v>0</v>
      </c>
      <c r="L42">
        <v>0.16</v>
      </c>
      <c r="M42">
        <v>-8.8290000000000006</v>
      </c>
      <c r="N42">
        <v>3.0499999999999999E-2</v>
      </c>
      <c r="O42">
        <v>124.899</v>
      </c>
      <c r="P42">
        <v>0.54700000000000004</v>
      </c>
      <c r="Q42">
        <v>52</v>
      </c>
      <c r="R42">
        <f t="shared" si="0"/>
        <v>0</v>
      </c>
      <c r="S42">
        <v>290480</v>
      </c>
    </row>
    <row r="43" spans="1:19" x14ac:dyDescent="0.45">
      <c r="A43">
        <v>42</v>
      </c>
      <c r="B43" t="s">
        <v>142</v>
      </c>
      <c r="C43" t="s">
        <v>119</v>
      </c>
      <c r="D43" s="1">
        <v>40476</v>
      </c>
      <c r="E43">
        <v>9</v>
      </c>
      <c r="F43" t="s">
        <v>143</v>
      </c>
      <c r="G43" t="s">
        <v>144</v>
      </c>
      <c r="H43">
        <v>7.1599999999999997E-2</v>
      </c>
      <c r="I43">
        <v>0.53500000000000003</v>
      </c>
      <c r="J43">
        <v>0.61799999999999999</v>
      </c>
      <c r="K43">
        <v>3.88E-4</v>
      </c>
      <c r="L43">
        <v>0.16900000000000001</v>
      </c>
      <c r="M43">
        <v>-3.9129999999999998</v>
      </c>
      <c r="N43">
        <v>2.7300000000000001E-2</v>
      </c>
      <c r="O43">
        <v>81.974999999999994</v>
      </c>
      <c r="P43">
        <v>0.22800000000000001</v>
      </c>
      <c r="Q43">
        <v>78</v>
      </c>
      <c r="R43">
        <f t="shared" si="0"/>
        <v>1</v>
      </c>
      <c r="S43">
        <v>352200</v>
      </c>
    </row>
    <row r="44" spans="1:19" x14ac:dyDescent="0.45">
      <c r="A44">
        <v>43</v>
      </c>
      <c r="B44" t="s">
        <v>145</v>
      </c>
      <c r="C44" t="s">
        <v>119</v>
      </c>
      <c r="D44" s="1">
        <v>40476</v>
      </c>
      <c r="E44">
        <v>10</v>
      </c>
      <c r="F44" t="s">
        <v>146</v>
      </c>
      <c r="G44" t="s">
        <v>147</v>
      </c>
      <c r="H44">
        <v>1.67E-2</v>
      </c>
      <c r="I44">
        <v>0.51900000000000002</v>
      </c>
      <c r="J44">
        <v>0.91700000000000004</v>
      </c>
      <c r="K44" s="2">
        <v>2.0599999999999999E-5</v>
      </c>
      <c r="L44">
        <v>0.35899999999999999</v>
      </c>
      <c r="M44">
        <v>-3.1850000000000001</v>
      </c>
      <c r="N44">
        <v>8.8700000000000001E-2</v>
      </c>
      <c r="O44">
        <v>145.88200000000001</v>
      </c>
      <c r="P44">
        <v>0.65200000000000002</v>
      </c>
      <c r="Q44">
        <v>64</v>
      </c>
      <c r="R44">
        <f t="shared" si="0"/>
        <v>0</v>
      </c>
      <c r="S44">
        <v>217173</v>
      </c>
    </row>
    <row r="45" spans="1:19" x14ac:dyDescent="0.45">
      <c r="A45">
        <v>44</v>
      </c>
      <c r="B45" t="s">
        <v>148</v>
      </c>
      <c r="C45" t="s">
        <v>119</v>
      </c>
      <c r="D45" s="1">
        <v>40476</v>
      </c>
      <c r="E45">
        <v>11</v>
      </c>
      <c r="F45" t="s">
        <v>149</v>
      </c>
      <c r="G45" t="s">
        <v>150</v>
      </c>
      <c r="H45">
        <v>0.20200000000000001</v>
      </c>
      <c r="I45">
        <v>0.55300000000000005</v>
      </c>
      <c r="J45">
        <v>0.60399999999999998</v>
      </c>
      <c r="K45">
        <v>0</v>
      </c>
      <c r="L45">
        <v>0.125</v>
      </c>
      <c r="M45">
        <v>-5.2949999999999999</v>
      </c>
      <c r="N45">
        <v>2.58E-2</v>
      </c>
      <c r="O45">
        <v>133.989</v>
      </c>
      <c r="P45">
        <v>0.186</v>
      </c>
      <c r="Q45">
        <v>48</v>
      </c>
      <c r="R45">
        <f t="shared" si="0"/>
        <v>0</v>
      </c>
      <c r="S45">
        <v>302266</v>
      </c>
    </row>
    <row r="46" spans="1:19" x14ac:dyDescent="0.45">
      <c r="A46">
        <v>45</v>
      </c>
      <c r="B46" t="s">
        <v>151</v>
      </c>
      <c r="C46" t="s">
        <v>119</v>
      </c>
      <c r="D46" s="1">
        <v>40476</v>
      </c>
      <c r="E46">
        <v>12</v>
      </c>
      <c r="F46" t="s">
        <v>152</v>
      </c>
      <c r="G46" t="s">
        <v>153</v>
      </c>
      <c r="H46">
        <v>7.6899999999999996E-2</v>
      </c>
      <c r="I46">
        <v>0.434</v>
      </c>
      <c r="J46">
        <v>0.94399999999999995</v>
      </c>
      <c r="K46">
        <v>0</v>
      </c>
      <c r="L46">
        <v>0.151</v>
      </c>
      <c r="M46">
        <v>-2.641</v>
      </c>
      <c r="N46">
        <v>5.8099999999999999E-2</v>
      </c>
      <c r="O46">
        <v>162.02000000000001</v>
      </c>
      <c r="P46">
        <v>0.36099999999999999</v>
      </c>
      <c r="Q46">
        <v>56</v>
      </c>
      <c r="R46">
        <f t="shared" si="0"/>
        <v>0</v>
      </c>
      <c r="S46">
        <v>242093</v>
      </c>
    </row>
    <row r="47" spans="1:19" x14ac:dyDescent="0.45">
      <c r="A47">
        <v>46</v>
      </c>
      <c r="B47" t="s">
        <v>154</v>
      </c>
      <c r="C47" t="s">
        <v>119</v>
      </c>
      <c r="D47" s="1">
        <v>40476</v>
      </c>
      <c r="E47">
        <v>13</v>
      </c>
      <c r="F47" t="s">
        <v>155</v>
      </c>
      <c r="G47" t="s">
        <v>156</v>
      </c>
      <c r="H47">
        <v>0.58099999999999996</v>
      </c>
      <c r="I47">
        <v>0.35899999999999999</v>
      </c>
      <c r="J47">
        <v>0.32900000000000001</v>
      </c>
      <c r="K47" s="2">
        <v>3.7499999999999997E-5</v>
      </c>
      <c r="L47">
        <v>9.7900000000000001E-2</v>
      </c>
      <c r="M47">
        <v>-9.5310000000000006</v>
      </c>
      <c r="N47">
        <v>2.93E-2</v>
      </c>
      <c r="O47">
        <v>84.358000000000004</v>
      </c>
      <c r="P47">
        <v>0.20799999999999999</v>
      </c>
      <c r="Q47">
        <v>57</v>
      </c>
      <c r="R47">
        <f t="shared" si="0"/>
        <v>0</v>
      </c>
      <c r="S47">
        <v>367146</v>
      </c>
    </row>
    <row r="48" spans="1:19" x14ac:dyDescent="0.45">
      <c r="A48">
        <v>47</v>
      </c>
      <c r="B48" t="s">
        <v>157</v>
      </c>
      <c r="C48" t="s">
        <v>119</v>
      </c>
      <c r="D48" s="1">
        <v>40476</v>
      </c>
      <c r="E48">
        <v>14</v>
      </c>
      <c r="F48" t="s">
        <v>158</v>
      </c>
      <c r="G48" t="s">
        <v>159</v>
      </c>
      <c r="H48">
        <v>4.2599999999999999E-2</v>
      </c>
      <c r="I48">
        <v>0.41199999999999998</v>
      </c>
      <c r="J48">
        <v>0.68200000000000005</v>
      </c>
      <c r="K48" s="2">
        <v>7.47E-5</v>
      </c>
      <c r="L48">
        <v>0.106</v>
      </c>
      <c r="M48">
        <v>-4.319</v>
      </c>
      <c r="N48">
        <v>3.39E-2</v>
      </c>
      <c r="O48">
        <v>203.959</v>
      </c>
      <c r="P48">
        <v>0.14599999999999999</v>
      </c>
      <c r="Q48">
        <v>57</v>
      </c>
      <c r="R48">
        <f t="shared" si="0"/>
        <v>0</v>
      </c>
      <c r="S48">
        <v>317960</v>
      </c>
    </row>
    <row r="49" spans="1:19" x14ac:dyDescent="0.45">
      <c r="A49">
        <v>48</v>
      </c>
      <c r="B49" t="s">
        <v>160</v>
      </c>
      <c r="C49" t="s">
        <v>161</v>
      </c>
      <c r="D49" s="1">
        <v>41204</v>
      </c>
      <c r="E49">
        <v>1</v>
      </c>
      <c r="F49" t="s">
        <v>162</v>
      </c>
      <c r="G49" t="s">
        <v>163</v>
      </c>
      <c r="H49">
        <v>1.9699999999999999E-4</v>
      </c>
      <c r="I49">
        <v>0.58799999999999997</v>
      </c>
      <c r="J49">
        <v>0.82499999999999996</v>
      </c>
      <c r="K49">
        <v>1.3799999999999999E-3</v>
      </c>
      <c r="L49">
        <v>8.8400000000000006E-2</v>
      </c>
      <c r="M49">
        <v>-5.8819999999999997</v>
      </c>
      <c r="N49">
        <v>3.2800000000000003E-2</v>
      </c>
      <c r="O49">
        <v>129.96799999999999</v>
      </c>
      <c r="P49">
        <v>0.39700000000000002</v>
      </c>
      <c r="Q49">
        <v>49</v>
      </c>
      <c r="R49">
        <f t="shared" si="0"/>
        <v>0</v>
      </c>
      <c r="S49">
        <v>295720</v>
      </c>
    </row>
    <row r="50" spans="1:19" x14ac:dyDescent="0.45">
      <c r="A50">
        <v>49</v>
      </c>
      <c r="B50" t="s">
        <v>164</v>
      </c>
      <c r="C50" t="s">
        <v>161</v>
      </c>
      <c r="D50" s="1">
        <v>41204</v>
      </c>
      <c r="E50">
        <v>2</v>
      </c>
      <c r="F50" t="s">
        <v>165</v>
      </c>
      <c r="G50" t="s">
        <v>166</v>
      </c>
      <c r="H50">
        <v>7.7299999999999994E-2</v>
      </c>
      <c r="I50">
        <v>0.60199999999999998</v>
      </c>
      <c r="J50">
        <v>0.89600000000000002</v>
      </c>
      <c r="K50" s="2">
        <v>8.8700000000000001E-5</v>
      </c>
      <c r="L50">
        <v>9.11E-2</v>
      </c>
      <c r="M50">
        <v>-4.2670000000000003</v>
      </c>
      <c r="N50">
        <v>4.3700000000000003E-2</v>
      </c>
      <c r="O50">
        <v>124.97799999999999</v>
      </c>
      <c r="P50">
        <v>0.64100000000000001</v>
      </c>
      <c r="Q50">
        <v>59</v>
      </c>
      <c r="R50">
        <f t="shared" si="0"/>
        <v>0</v>
      </c>
      <c r="S50">
        <v>223093</v>
      </c>
    </row>
    <row r="51" spans="1:19" x14ac:dyDescent="0.45">
      <c r="A51">
        <v>50</v>
      </c>
      <c r="B51" t="s">
        <v>167</v>
      </c>
      <c r="C51" t="s">
        <v>161</v>
      </c>
      <c r="D51" s="1">
        <v>41204</v>
      </c>
      <c r="E51">
        <v>3</v>
      </c>
      <c r="F51" t="s">
        <v>168</v>
      </c>
      <c r="G51" t="s">
        <v>169</v>
      </c>
      <c r="H51">
        <v>0.10100000000000001</v>
      </c>
      <c r="I51">
        <v>0.70399999999999996</v>
      </c>
      <c r="J51">
        <v>0.621</v>
      </c>
      <c r="K51" s="2">
        <v>4.3000000000000003E-6</v>
      </c>
      <c r="L51">
        <v>0.14000000000000001</v>
      </c>
      <c r="M51">
        <v>-8.0860000000000003</v>
      </c>
      <c r="N51">
        <v>3.3399999999999999E-2</v>
      </c>
      <c r="O51">
        <v>109.995</v>
      </c>
      <c r="P51">
        <v>0.39500000000000002</v>
      </c>
      <c r="Q51">
        <v>48</v>
      </c>
      <c r="R51">
        <f t="shared" si="0"/>
        <v>0</v>
      </c>
      <c r="S51">
        <v>242760</v>
      </c>
    </row>
    <row r="52" spans="1:19" x14ac:dyDescent="0.45">
      <c r="A52">
        <v>51</v>
      </c>
      <c r="B52" t="s">
        <v>170</v>
      </c>
      <c r="C52" t="s">
        <v>161</v>
      </c>
      <c r="D52" s="1">
        <v>41204</v>
      </c>
      <c r="E52">
        <v>4</v>
      </c>
      <c r="F52" t="s">
        <v>171</v>
      </c>
      <c r="G52" t="s">
        <v>172</v>
      </c>
      <c r="H52">
        <v>4.5399999999999998E-3</v>
      </c>
      <c r="I52">
        <v>0.622</v>
      </c>
      <c r="J52">
        <v>0.46899999999999997</v>
      </c>
      <c r="K52" s="2">
        <v>2.2500000000000001E-6</v>
      </c>
      <c r="L52">
        <v>3.3500000000000002E-2</v>
      </c>
      <c r="M52">
        <v>-6.798</v>
      </c>
      <c r="N52">
        <v>3.6299999999999999E-2</v>
      </c>
      <c r="O52">
        <v>77.019000000000005</v>
      </c>
      <c r="P52">
        <v>0.67900000000000005</v>
      </c>
      <c r="Q52">
        <v>63</v>
      </c>
      <c r="R52">
        <f t="shared" si="0"/>
        <v>0</v>
      </c>
      <c r="S52">
        <v>219720</v>
      </c>
    </row>
    <row r="53" spans="1:19" x14ac:dyDescent="0.45">
      <c r="A53">
        <v>52</v>
      </c>
      <c r="B53" t="s">
        <v>173</v>
      </c>
      <c r="C53" t="s">
        <v>161</v>
      </c>
      <c r="D53" s="1">
        <v>41204</v>
      </c>
      <c r="E53">
        <v>5</v>
      </c>
      <c r="F53" t="s">
        <v>174</v>
      </c>
      <c r="G53" t="s">
        <v>175</v>
      </c>
      <c r="H53">
        <v>3.8199999999999998E-2</v>
      </c>
      <c r="I53">
        <v>0.60199999999999998</v>
      </c>
      <c r="J53">
        <v>0.60899999999999999</v>
      </c>
      <c r="K53">
        <v>2.0000000000000001E-4</v>
      </c>
      <c r="L53">
        <v>0.128</v>
      </c>
      <c r="M53">
        <v>-7.8029999999999999</v>
      </c>
      <c r="N53">
        <v>2.4299999999999999E-2</v>
      </c>
      <c r="O53">
        <v>93.06</v>
      </c>
      <c r="P53">
        <v>0.33700000000000002</v>
      </c>
      <c r="Q53">
        <v>64</v>
      </c>
      <c r="R53">
        <f t="shared" si="0"/>
        <v>0</v>
      </c>
      <c r="S53">
        <v>329160</v>
      </c>
    </row>
    <row r="54" spans="1:19" x14ac:dyDescent="0.45">
      <c r="A54">
        <v>53</v>
      </c>
      <c r="B54">
        <v>22</v>
      </c>
      <c r="C54" t="s">
        <v>161</v>
      </c>
      <c r="D54" s="1">
        <v>41204</v>
      </c>
      <c r="E54">
        <v>6</v>
      </c>
      <c r="F54" t="s">
        <v>176</v>
      </c>
      <c r="G54" t="s">
        <v>177</v>
      </c>
      <c r="H54">
        <v>2.15E-3</v>
      </c>
      <c r="I54">
        <v>0.66100000000000003</v>
      </c>
      <c r="J54">
        <v>0.72899999999999998</v>
      </c>
      <c r="K54">
        <v>1.2999999999999999E-3</v>
      </c>
      <c r="L54">
        <v>4.7699999999999999E-2</v>
      </c>
      <c r="M54">
        <v>-6.5609999999999999</v>
      </c>
      <c r="N54">
        <v>3.7600000000000001E-2</v>
      </c>
      <c r="O54">
        <v>103.98699999999999</v>
      </c>
      <c r="P54">
        <v>0.66800000000000004</v>
      </c>
      <c r="Q54">
        <v>63</v>
      </c>
      <c r="R54">
        <f t="shared" si="0"/>
        <v>0</v>
      </c>
      <c r="S54">
        <v>232120</v>
      </c>
    </row>
    <row r="55" spans="1:19" x14ac:dyDescent="0.45">
      <c r="A55">
        <v>54</v>
      </c>
      <c r="B55" t="s">
        <v>178</v>
      </c>
      <c r="C55" t="s">
        <v>161</v>
      </c>
      <c r="D55" s="1">
        <v>41204</v>
      </c>
      <c r="E55">
        <v>7</v>
      </c>
      <c r="F55" t="s">
        <v>179</v>
      </c>
      <c r="G55" t="s">
        <v>180</v>
      </c>
      <c r="H55">
        <v>1.7299999999999999E-2</v>
      </c>
      <c r="I55">
        <v>0.56699999999999995</v>
      </c>
      <c r="J55">
        <v>0.48099999999999998</v>
      </c>
      <c r="K55" s="2">
        <v>4.1300000000000001E-5</v>
      </c>
      <c r="L55">
        <v>0.182</v>
      </c>
      <c r="M55">
        <v>-7.3570000000000002</v>
      </c>
      <c r="N55">
        <v>2.7E-2</v>
      </c>
      <c r="O55">
        <v>145.86500000000001</v>
      </c>
      <c r="P55">
        <v>0.23300000000000001</v>
      </c>
      <c r="Q55">
        <v>49</v>
      </c>
      <c r="R55">
        <f t="shared" si="0"/>
        <v>0</v>
      </c>
      <c r="S55">
        <v>244560</v>
      </c>
    </row>
    <row r="56" spans="1:19" x14ac:dyDescent="0.45">
      <c r="A56">
        <v>55</v>
      </c>
      <c r="B56" t="s">
        <v>181</v>
      </c>
      <c r="C56" t="s">
        <v>161</v>
      </c>
      <c r="D56" s="1">
        <v>41204</v>
      </c>
      <c r="E56">
        <v>8</v>
      </c>
      <c r="F56" t="s">
        <v>182</v>
      </c>
      <c r="G56" t="s">
        <v>183</v>
      </c>
      <c r="H56">
        <v>9.5700000000000004E-3</v>
      </c>
      <c r="I56">
        <v>0.628</v>
      </c>
      <c r="J56">
        <v>0.67600000000000005</v>
      </c>
      <c r="K56" s="2">
        <v>2.65E-5</v>
      </c>
      <c r="L56">
        <v>0.121</v>
      </c>
      <c r="M56">
        <v>-5.9109999999999996</v>
      </c>
      <c r="N56">
        <v>9.1600000000000001E-2</v>
      </c>
      <c r="O56">
        <v>85.983999999999995</v>
      </c>
      <c r="P56">
        <v>0.75</v>
      </c>
      <c r="Q56">
        <v>63</v>
      </c>
      <c r="R56">
        <f t="shared" si="0"/>
        <v>0</v>
      </c>
      <c r="S56">
        <v>193146</v>
      </c>
    </row>
    <row r="57" spans="1:19" x14ac:dyDescent="0.45">
      <c r="A57">
        <v>56</v>
      </c>
      <c r="B57" t="s">
        <v>184</v>
      </c>
      <c r="C57" t="s">
        <v>161</v>
      </c>
      <c r="D57" s="1">
        <v>41204</v>
      </c>
      <c r="E57">
        <v>9</v>
      </c>
      <c r="F57" t="s">
        <v>185</v>
      </c>
      <c r="G57" t="s">
        <v>186</v>
      </c>
      <c r="H57">
        <v>0.307</v>
      </c>
      <c r="I57">
        <v>0.72899999999999998</v>
      </c>
      <c r="J57">
        <v>0.748</v>
      </c>
      <c r="K57" s="2">
        <v>1.2899999999999999E-6</v>
      </c>
      <c r="L57">
        <v>9.6199999999999994E-2</v>
      </c>
      <c r="M57">
        <v>-6.67</v>
      </c>
      <c r="N57">
        <v>2.4500000000000001E-2</v>
      </c>
      <c r="O57">
        <v>99.980999999999995</v>
      </c>
      <c r="P57">
        <v>0.92800000000000005</v>
      </c>
      <c r="Q57">
        <v>49</v>
      </c>
      <c r="R57">
        <f t="shared" si="0"/>
        <v>0</v>
      </c>
      <c r="S57">
        <v>205853</v>
      </c>
    </row>
    <row r="58" spans="1:19" x14ac:dyDescent="0.45">
      <c r="A58">
        <v>57</v>
      </c>
      <c r="B58" t="s">
        <v>187</v>
      </c>
      <c r="C58" t="s">
        <v>161</v>
      </c>
      <c r="D58" s="1">
        <v>41204</v>
      </c>
      <c r="E58">
        <v>10</v>
      </c>
      <c r="F58" t="s">
        <v>188</v>
      </c>
      <c r="G58" t="s">
        <v>189</v>
      </c>
      <c r="H58">
        <v>3.5000000000000003E-2</v>
      </c>
      <c r="I58">
        <v>0.505</v>
      </c>
      <c r="J58">
        <v>0.443</v>
      </c>
      <c r="K58" s="2">
        <v>3.1499999999999999E-6</v>
      </c>
      <c r="L58">
        <v>9.06E-2</v>
      </c>
      <c r="M58">
        <v>-7.0389999999999997</v>
      </c>
      <c r="N58">
        <v>2.76E-2</v>
      </c>
      <c r="O58">
        <v>94.069000000000003</v>
      </c>
      <c r="P58">
        <v>0.123</v>
      </c>
      <c r="Q58">
        <v>51</v>
      </c>
      <c r="R58">
        <f t="shared" si="0"/>
        <v>0</v>
      </c>
      <c r="S58">
        <v>299013</v>
      </c>
    </row>
    <row r="59" spans="1:19" x14ac:dyDescent="0.45">
      <c r="A59">
        <v>58</v>
      </c>
      <c r="B59" t="s">
        <v>190</v>
      </c>
      <c r="C59" t="s">
        <v>161</v>
      </c>
      <c r="D59" s="1">
        <v>41204</v>
      </c>
      <c r="E59">
        <v>11</v>
      </c>
      <c r="F59" t="s">
        <v>191</v>
      </c>
      <c r="G59" t="s">
        <v>192</v>
      </c>
      <c r="H59">
        <v>1.6199999999999999E-2</v>
      </c>
      <c r="I59">
        <v>0.627</v>
      </c>
      <c r="J59">
        <v>0.81599999999999995</v>
      </c>
      <c r="K59">
        <v>2.0799999999999998E-3</v>
      </c>
      <c r="L59">
        <v>9.6500000000000002E-2</v>
      </c>
      <c r="M59">
        <v>-6.6980000000000004</v>
      </c>
      <c r="N59">
        <v>7.7399999999999997E-2</v>
      </c>
      <c r="O59">
        <v>157.04300000000001</v>
      </c>
      <c r="P59">
        <v>0.64800000000000002</v>
      </c>
      <c r="Q59">
        <v>47</v>
      </c>
      <c r="R59">
        <f t="shared" si="0"/>
        <v>0</v>
      </c>
      <c r="S59">
        <v>202960</v>
      </c>
    </row>
    <row r="60" spans="1:19" x14ac:dyDescent="0.45">
      <c r="A60">
        <v>59</v>
      </c>
      <c r="B60" t="s">
        <v>193</v>
      </c>
      <c r="C60" t="s">
        <v>161</v>
      </c>
      <c r="D60" s="1">
        <v>41204</v>
      </c>
      <c r="E60">
        <v>12</v>
      </c>
      <c r="F60" t="s">
        <v>194</v>
      </c>
      <c r="G60" t="s">
        <v>195</v>
      </c>
      <c r="H60">
        <v>0.63200000000000001</v>
      </c>
      <c r="I60">
        <v>0.624</v>
      </c>
      <c r="J60">
        <v>0.34</v>
      </c>
      <c r="K60">
        <v>3.3700000000000001E-2</v>
      </c>
      <c r="L60">
        <v>8.0500000000000002E-2</v>
      </c>
      <c r="M60">
        <v>-12.411</v>
      </c>
      <c r="N60">
        <v>2.9000000000000001E-2</v>
      </c>
      <c r="O60">
        <v>129.98699999999999</v>
      </c>
      <c r="P60">
        <v>0.26100000000000001</v>
      </c>
      <c r="Q60">
        <v>46</v>
      </c>
      <c r="R60">
        <f t="shared" si="0"/>
        <v>0</v>
      </c>
      <c r="S60">
        <v>284866</v>
      </c>
    </row>
    <row r="61" spans="1:19" x14ac:dyDescent="0.45">
      <c r="A61">
        <v>60</v>
      </c>
      <c r="B61" t="s">
        <v>196</v>
      </c>
      <c r="C61" t="s">
        <v>161</v>
      </c>
      <c r="D61" s="1">
        <v>41204</v>
      </c>
      <c r="E61">
        <v>13</v>
      </c>
      <c r="F61" t="s">
        <v>197</v>
      </c>
      <c r="G61" t="s">
        <v>198</v>
      </c>
      <c r="H61">
        <v>3.7100000000000001E-2</v>
      </c>
      <c r="I61">
        <v>0.70599999999999996</v>
      </c>
      <c r="J61">
        <v>0.499</v>
      </c>
      <c r="K61">
        <v>0</v>
      </c>
      <c r="L61">
        <v>0.13200000000000001</v>
      </c>
      <c r="M61">
        <v>-7.6749999999999998</v>
      </c>
      <c r="N61">
        <v>3.6900000000000002E-2</v>
      </c>
      <c r="O61">
        <v>117.937</v>
      </c>
      <c r="P61">
        <v>0.54500000000000004</v>
      </c>
      <c r="Q61">
        <v>46</v>
      </c>
      <c r="R61">
        <f t="shared" si="0"/>
        <v>0</v>
      </c>
      <c r="S61">
        <v>240266</v>
      </c>
    </row>
    <row r="62" spans="1:19" x14ac:dyDescent="0.45">
      <c r="A62">
        <v>61</v>
      </c>
      <c r="B62" t="s">
        <v>199</v>
      </c>
      <c r="C62" t="s">
        <v>161</v>
      </c>
      <c r="D62" s="1">
        <v>41204</v>
      </c>
      <c r="E62">
        <v>14</v>
      </c>
      <c r="F62" t="s">
        <v>200</v>
      </c>
      <c r="G62" t="s">
        <v>201</v>
      </c>
      <c r="H62">
        <v>0.36</v>
      </c>
      <c r="I62">
        <v>0.624</v>
      </c>
      <c r="J62">
        <v>0.45800000000000002</v>
      </c>
      <c r="K62" s="2">
        <v>3.89E-6</v>
      </c>
      <c r="L62">
        <v>0.311</v>
      </c>
      <c r="M62">
        <v>-6.7549999999999999</v>
      </c>
      <c r="N62">
        <v>2.87E-2</v>
      </c>
      <c r="O62">
        <v>80.016000000000005</v>
      </c>
      <c r="P62">
        <v>0.436</v>
      </c>
      <c r="Q62">
        <v>56</v>
      </c>
      <c r="R62">
        <f t="shared" si="0"/>
        <v>0</v>
      </c>
      <c r="S62">
        <v>245413</v>
      </c>
    </row>
    <row r="63" spans="1:19" x14ac:dyDescent="0.45">
      <c r="A63">
        <v>62</v>
      </c>
      <c r="B63" t="s">
        <v>202</v>
      </c>
      <c r="C63" t="s">
        <v>161</v>
      </c>
      <c r="D63" s="1">
        <v>41204</v>
      </c>
      <c r="E63">
        <v>15</v>
      </c>
      <c r="F63" t="s">
        <v>203</v>
      </c>
      <c r="G63" t="s">
        <v>204</v>
      </c>
      <c r="H63">
        <v>2.1299999999999999E-2</v>
      </c>
      <c r="I63">
        <v>0.64900000000000002</v>
      </c>
      <c r="J63">
        <v>0.77700000000000002</v>
      </c>
      <c r="K63">
        <v>3.3500000000000001E-4</v>
      </c>
      <c r="L63">
        <v>0.21</v>
      </c>
      <c r="M63">
        <v>-5.8040000000000003</v>
      </c>
      <c r="N63">
        <v>4.0599999999999997E-2</v>
      </c>
      <c r="O63">
        <v>126.018</v>
      </c>
      <c r="P63">
        <v>0.58699999999999997</v>
      </c>
      <c r="Q63">
        <v>47</v>
      </c>
      <c r="R63">
        <f t="shared" si="0"/>
        <v>0</v>
      </c>
      <c r="S63">
        <v>220600</v>
      </c>
    </row>
    <row r="64" spans="1:19" x14ac:dyDescent="0.45">
      <c r="A64">
        <v>63</v>
      </c>
      <c r="B64" t="s">
        <v>205</v>
      </c>
      <c r="C64" t="s">
        <v>161</v>
      </c>
      <c r="D64" s="1">
        <v>41204</v>
      </c>
      <c r="E64">
        <v>16</v>
      </c>
      <c r="F64" t="s">
        <v>206</v>
      </c>
      <c r="G64" t="s">
        <v>207</v>
      </c>
      <c r="H64">
        <v>0.19900000000000001</v>
      </c>
      <c r="I64">
        <v>0.53</v>
      </c>
      <c r="J64">
        <v>0.52600000000000002</v>
      </c>
      <c r="K64" s="2">
        <v>3.5200000000000002E-6</v>
      </c>
      <c r="L64">
        <v>0.14000000000000001</v>
      </c>
      <c r="M64">
        <v>-8.3490000000000002</v>
      </c>
      <c r="N64">
        <v>2.63E-2</v>
      </c>
      <c r="O64">
        <v>79.025000000000006</v>
      </c>
      <c r="P64">
        <v>0.32300000000000001</v>
      </c>
      <c r="Q64">
        <v>49</v>
      </c>
      <c r="R64">
        <f t="shared" si="0"/>
        <v>0</v>
      </c>
      <c r="S64">
        <v>239426</v>
      </c>
    </row>
    <row r="65" spans="1:19" x14ac:dyDescent="0.45">
      <c r="A65">
        <v>64</v>
      </c>
      <c r="B65" t="s">
        <v>208</v>
      </c>
      <c r="C65" t="s">
        <v>161</v>
      </c>
      <c r="D65" s="1">
        <v>41204</v>
      </c>
      <c r="E65">
        <v>17</v>
      </c>
      <c r="F65" t="s">
        <v>209</v>
      </c>
      <c r="G65" t="s">
        <v>210</v>
      </c>
      <c r="H65">
        <v>0.187</v>
      </c>
      <c r="I65">
        <v>0.61899999999999999</v>
      </c>
      <c r="J65">
        <v>0.50600000000000001</v>
      </c>
      <c r="K65" s="2">
        <v>1.47E-5</v>
      </c>
      <c r="L65">
        <v>0.10100000000000001</v>
      </c>
      <c r="M65">
        <v>-7.327</v>
      </c>
      <c r="N65">
        <v>3.15E-2</v>
      </c>
      <c r="O65">
        <v>126.03</v>
      </c>
      <c r="P65">
        <v>0.27400000000000002</v>
      </c>
      <c r="Q65">
        <v>44</v>
      </c>
      <c r="R65">
        <f t="shared" si="0"/>
        <v>0</v>
      </c>
      <c r="S65">
        <v>286613</v>
      </c>
    </row>
    <row r="66" spans="1:19" x14ac:dyDescent="0.45">
      <c r="A66">
        <v>65</v>
      </c>
      <c r="B66" t="s">
        <v>211</v>
      </c>
      <c r="C66" t="s">
        <v>161</v>
      </c>
      <c r="D66" s="1">
        <v>41204</v>
      </c>
      <c r="E66">
        <v>18</v>
      </c>
      <c r="F66" t="s">
        <v>212</v>
      </c>
      <c r="G66" t="s">
        <v>213</v>
      </c>
      <c r="H66">
        <v>4.7099999999999998E-3</v>
      </c>
      <c r="I66">
        <v>0.48299999999999998</v>
      </c>
      <c r="J66">
        <v>0.54800000000000004</v>
      </c>
      <c r="K66" s="2">
        <v>2.0099999999999998E-6</v>
      </c>
      <c r="L66">
        <v>9.9699999999999997E-2</v>
      </c>
      <c r="M66">
        <v>-6.2910000000000004</v>
      </c>
      <c r="N66">
        <v>2.5399999999999999E-2</v>
      </c>
      <c r="O66">
        <v>79.926000000000002</v>
      </c>
      <c r="P66">
        <v>0.217</v>
      </c>
      <c r="Q66">
        <v>48</v>
      </c>
      <c r="R66">
        <f t="shared" si="0"/>
        <v>0</v>
      </c>
      <c r="S66">
        <v>223920</v>
      </c>
    </row>
    <row r="67" spans="1:19" x14ac:dyDescent="0.45">
      <c r="A67">
        <v>66</v>
      </c>
      <c r="B67" t="s">
        <v>214</v>
      </c>
      <c r="C67" t="s">
        <v>161</v>
      </c>
      <c r="D67" s="1">
        <v>41204</v>
      </c>
      <c r="E67">
        <v>19</v>
      </c>
      <c r="F67" t="s">
        <v>215</v>
      </c>
      <c r="G67" t="s">
        <v>216</v>
      </c>
      <c r="H67">
        <v>0.27200000000000002</v>
      </c>
      <c r="I67">
        <v>0.73299999999999998</v>
      </c>
      <c r="J67">
        <v>0.59</v>
      </c>
      <c r="K67">
        <v>0</v>
      </c>
      <c r="L67">
        <v>0.13400000000000001</v>
      </c>
      <c r="M67">
        <v>-5.86</v>
      </c>
      <c r="N67">
        <v>2.8400000000000002E-2</v>
      </c>
      <c r="O67">
        <v>125.048</v>
      </c>
      <c r="P67">
        <v>0.63300000000000001</v>
      </c>
      <c r="Q67">
        <v>43</v>
      </c>
      <c r="R67">
        <f t="shared" ref="R67:R130" si="1">IF(Q67&lt;69,0,1)</f>
        <v>0</v>
      </c>
      <c r="S67">
        <v>220840</v>
      </c>
    </row>
    <row r="68" spans="1:19" x14ac:dyDescent="0.45">
      <c r="A68">
        <v>67</v>
      </c>
      <c r="B68" t="s">
        <v>217</v>
      </c>
      <c r="C68" t="s">
        <v>161</v>
      </c>
      <c r="D68" s="1">
        <v>41204</v>
      </c>
      <c r="E68">
        <v>20</v>
      </c>
      <c r="F68" t="s">
        <v>218</v>
      </c>
      <c r="G68" t="s">
        <v>219</v>
      </c>
      <c r="H68">
        <v>0.17499999999999999</v>
      </c>
      <c r="I68">
        <v>0.82799999999999996</v>
      </c>
      <c r="J68">
        <v>0.64</v>
      </c>
      <c r="K68" s="2">
        <v>6.1400000000000002E-5</v>
      </c>
      <c r="L68">
        <v>9.9099999999999994E-2</v>
      </c>
      <c r="M68">
        <v>-8.2479999999999993</v>
      </c>
      <c r="N68">
        <v>3.5499999999999997E-2</v>
      </c>
      <c r="O68">
        <v>109.99299999999999</v>
      </c>
      <c r="P68">
        <v>0.51900000000000002</v>
      </c>
      <c r="Q68">
        <v>40</v>
      </c>
      <c r="R68">
        <f t="shared" si="1"/>
        <v>0</v>
      </c>
      <c r="S68">
        <v>240266</v>
      </c>
    </row>
    <row r="69" spans="1:19" x14ac:dyDescent="0.45">
      <c r="A69">
        <v>68</v>
      </c>
      <c r="B69" t="s">
        <v>220</v>
      </c>
      <c r="C69" t="s">
        <v>161</v>
      </c>
      <c r="D69" s="1">
        <v>41204</v>
      </c>
      <c r="E69">
        <v>21</v>
      </c>
      <c r="F69" t="s">
        <v>221</v>
      </c>
      <c r="G69" t="s">
        <v>222</v>
      </c>
      <c r="H69">
        <v>0.113</v>
      </c>
      <c r="I69">
        <v>0.67800000000000005</v>
      </c>
      <c r="J69">
        <v>0.90200000000000002</v>
      </c>
      <c r="K69">
        <v>2.3499999999999999E-4</v>
      </c>
      <c r="L69">
        <v>7.0499999999999993E-2</v>
      </c>
      <c r="M69">
        <v>-4.6589999999999998</v>
      </c>
      <c r="N69">
        <v>3.5799999999999998E-2</v>
      </c>
      <c r="O69">
        <v>124.998</v>
      </c>
      <c r="P69">
        <v>0.63700000000000001</v>
      </c>
      <c r="Q69">
        <v>42</v>
      </c>
      <c r="R69">
        <f t="shared" si="1"/>
        <v>0</v>
      </c>
      <c r="S69">
        <v>227080</v>
      </c>
    </row>
    <row r="70" spans="1:19" x14ac:dyDescent="0.45">
      <c r="A70">
        <v>69</v>
      </c>
      <c r="B70" t="s">
        <v>223</v>
      </c>
      <c r="C70" t="s">
        <v>161</v>
      </c>
      <c r="D70" s="1">
        <v>41204</v>
      </c>
      <c r="E70">
        <v>22</v>
      </c>
      <c r="F70" t="s">
        <v>224</v>
      </c>
      <c r="G70" t="s">
        <v>225</v>
      </c>
      <c r="H70">
        <v>0.66400000000000003</v>
      </c>
      <c r="I70">
        <v>0.626</v>
      </c>
      <c r="J70">
        <v>0.11799999999999999</v>
      </c>
      <c r="K70">
        <v>1.6899999999999999E-4</v>
      </c>
      <c r="L70">
        <v>0.127</v>
      </c>
      <c r="M70">
        <v>-15.91</v>
      </c>
      <c r="N70">
        <v>3.0499999999999999E-2</v>
      </c>
      <c r="O70">
        <v>105.59699999999999</v>
      </c>
      <c r="P70">
        <v>6.8199999999999997E-2</v>
      </c>
      <c r="Q70">
        <v>43</v>
      </c>
      <c r="R70">
        <f t="shared" si="1"/>
        <v>0</v>
      </c>
      <c r="S70">
        <v>323080</v>
      </c>
    </row>
    <row r="71" spans="1:19" x14ac:dyDescent="0.45">
      <c r="A71">
        <v>70</v>
      </c>
      <c r="B71" t="s">
        <v>226</v>
      </c>
      <c r="C71" t="s">
        <v>227</v>
      </c>
      <c r="D71" s="1">
        <v>41640</v>
      </c>
      <c r="E71">
        <v>1</v>
      </c>
      <c r="F71" t="s">
        <v>228</v>
      </c>
      <c r="G71" t="s">
        <v>229</v>
      </c>
      <c r="H71">
        <v>3.4799999999999998E-2</v>
      </c>
      <c r="I71">
        <v>0.78900000000000003</v>
      </c>
      <c r="J71">
        <v>0.63400000000000001</v>
      </c>
      <c r="K71" s="2">
        <v>1.64E-6</v>
      </c>
      <c r="L71">
        <v>0.30199999999999999</v>
      </c>
      <c r="M71">
        <v>-4.7619999999999996</v>
      </c>
      <c r="N71">
        <v>3.2300000000000002E-2</v>
      </c>
      <c r="O71">
        <v>116.992</v>
      </c>
      <c r="P71">
        <v>0.65800000000000003</v>
      </c>
      <c r="Q71">
        <v>68</v>
      </c>
      <c r="R71">
        <f t="shared" si="1"/>
        <v>0</v>
      </c>
      <c r="S71">
        <v>212600</v>
      </c>
    </row>
    <row r="72" spans="1:19" x14ac:dyDescent="0.45">
      <c r="A72">
        <v>71</v>
      </c>
      <c r="B72" t="s">
        <v>230</v>
      </c>
      <c r="C72" t="s">
        <v>227</v>
      </c>
      <c r="D72" s="1">
        <v>41640</v>
      </c>
      <c r="E72">
        <v>2</v>
      </c>
      <c r="F72" t="s">
        <v>231</v>
      </c>
      <c r="G72" t="s">
        <v>232</v>
      </c>
      <c r="H72">
        <v>0.10299999999999999</v>
      </c>
      <c r="I72">
        <v>0.76</v>
      </c>
      <c r="J72">
        <v>0.70299999999999996</v>
      </c>
      <c r="K72">
        <v>0</v>
      </c>
      <c r="L72">
        <v>9.1300000000000006E-2</v>
      </c>
      <c r="M72">
        <v>-5.4119999999999999</v>
      </c>
      <c r="N72">
        <v>5.3999999999999999E-2</v>
      </c>
      <c r="O72">
        <v>95.997</v>
      </c>
      <c r="P72">
        <v>0.56999999999999995</v>
      </c>
      <c r="Q72">
        <v>90</v>
      </c>
      <c r="R72">
        <f t="shared" si="1"/>
        <v>1</v>
      </c>
      <c r="S72">
        <v>231826</v>
      </c>
    </row>
    <row r="73" spans="1:19" x14ac:dyDescent="0.45">
      <c r="A73">
        <v>72</v>
      </c>
      <c r="B73" t="s">
        <v>233</v>
      </c>
      <c r="C73" t="s">
        <v>227</v>
      </c>
      <c r="D73" s="1">
        <v>41640</v>
      </c>
      <c r="E73">
        <v>3</v>
      </c>
      <c r="F73" t="s">
        <v>234</v>
      </c>
      <c r="G73" t="s">
        <v>235</v>
      </c>
      <c r="H73">
        <v>2.4499999999999999E-3</v>
      </c>
      <c r="I73">
        <v>0.58799999999999997</v>
      </c>
      <c r="J73">
        <v>0.79100000000000004</v>
      </c>
      <c r="K73">
        <v>2.5799999999999998E-3</v>
      </c>
      <c r="L73">
        <v>0.11799999999999999</v>
      </c>
      <c r="M73">
        <v>-5.5949999999999998</v>
      </c>
      <c r="N73">
        <v>4.02E-2</v>
      </c>
      <c r="O73">
        <v>94.933000000000007</v>
      </c>
      <c r="P73">
        <v>0.48699999999999999</v>
      </c>
      <c r="Q73">
        <v>90</v>
      </c>
      <c r="R73">
        <f t="shared" si="1"/>
        <v>1</v>
      </c>
      <c r="S73">
        <v>231000</v>
      </c>
    </row>
    <row r="74" spans="1:19" x14ac:dyDescent="0.45">
      <c r="A74">
        <v>73</v>
      </c>
      <c r="B74" t="s">
        <v>236</v>
      </c>
      <c r="C74" t="s">
        <v>227</v>
      </c>
      <c r="D74" s="1">
        <v>41640</v>
      </c>
      <c r="E74">
        <v>4</v>
      </c>
      <c r="F74" t="s">
        <v>237</v>
      </c>
      <c r="G74" t="s">
        <v>238</v>
      </c>
      <c r="H74">
        <v>7.4299999999999995E-4</v>
      </c>
      <c r="I74">
        <v>0.55300000000000005</v>
      </c>
      <c r="J74">
        <v>0.84099999999999997</v>
      </c>
      <c r="K74" s="2">
        <v>1.19E-5</v>
      </c>
      <c r="L74">
        <v>0.34100000000000003</v>
      </c>
      <c r="M74">
        <v>-6.9370000000000003</v>
      </c>
      <c r="N74">
        <v>3.9600000000000003E-2</v>
      </c>
      <c r="O74">
        <v>92.007999999999996</v>
      </c>
      <c r="P74">
        <v>0.33800000000000002</v>
      </c>
      <c r="Q74">
        <v>76</v>
      </c>
      <c r="R74">
        <f t="shared" si="1"/>
        <v>1</v>
      </c>
      <c r="S74">
        <v>235800</v>
      </c>
    </row>
    <row r="75" spans="1:19" x14ac:dyDescent="0.45">
      <c r="A75">
        <v>74</v>
      </c>
      <c r="B75" t="s">
        <v>239</v>
      </c>
      <c r="C75" t="s">
        <v>227</v>
      </c>
      <c r="D75" s="1">
        <v>41640</v>
      </c>
      <c r="E75">
        <v>5</v>
      </c>
      <c r="F75" t="s">
        <v>240</v>
      </c>
      <c r="G75" t="s">
        <v>241</v>
      </c>
      <c r="H75">
        <v>2.0100000000000001E-3</v>
      </c>
      <c r="I75">
        <v>0.60499999999999998</v>
      </c>
      <c r="J75">
        <v>0.72499999999999998</v>
      </c>
      <c r="K75" s="2">
        <v>2.02E-5</v>
      </c>
      <c r="L75">
        <v>0.10100000000000001</v>
      </c>
      <c r="M75">
        <v>-5.7290000000000001</v>
      </c>
      <c r="N75">
        <v>3.2300000000000002E-2</v>
      </c>
      <c r="O75">
        <v>96.97</v>
      </c>
      <c r="P75">
        <v>0.53900000000000003</v>
      </c>
      <c r="Q75">
        <v>68</v>
      </c>
      <c r="R75">
        <f t="shared" si="1"/>
        <v>0</v>
      </c>
      <c r="S75">
        <v>193293</v>
      </c>
    </row>
    <row r="76" spans="1:19" x14ac:dyDescent="0.45">
      <c r="A76">
        <v>75</v>
      </c>
      <c r="B76" t="s">
        <v>242</v>
      </c>
      <c r="C76" t="s">
        <v>227</v>
      </c>
      <c r="D76" s="1">
        <v>41640</v>
      </c>
      <c r="E76">
        <v>6</v>
      </c>
      <c r="F76" t="s">
        <v>243</v>
      </c>
      <c r="G76" t="s">
        <v>244</v>
      </c>
      <c r="H76">
        <v>6.4699999999999994E-2</v>
      </c>
      <c r="I76">
        <v>0.64700000000000002</v>
      </c>
      <c r="J76">
        <v>0.8</v>
      </c>
      <c r="K76">
        <v>0</v>
      </c>
      <c r="L76">
        <v>0.33400000000000002</v>
      </c>
      <c r="M76">
        <v>-5.3840000000000003</v>
      </c>
      <c r="N76">
        <v>0.16500000000000001</v>
      </c>
      <c r="O76">
        <v>160.078</v>
      </c>
      <c r="P76">
        <v>0.94199999999999995</v>
      </c>
      <c r="Q76">
        <v>85</v>
      </c>
      <c r="R76">
        <f t="shared" si="1"/>
        <v>1</v>
      </c>
      <c r="S76">
        <v>219200</v>
      </c>
    </row>
    <row r="77" spans="1:19" x14ac:dyDescent="0.45">
      <c r="A77">
        <v>76</v>
      </c>
      <c r="B77" t="s">
        <v>245</v>
      </c>
      <c r="C77" t="s">
        <v>227</v>
      </c>
      <c r="D77" s="1">
        <v>41640</v>
      </c>
      <c r="E77">
        <v>7</v>
      </c>
      <c r="F77" t="s">
        <v>246</v>
      </c>
      <c r="G77" t="s">
        <v>247</v>
      </c>
      <c r="H77">
        <v>1.5800000000000002E-2</v>
      </c>
      <c r="I77">
        <v>0.65300000000000002</v>
      </c>
      <c r="J77">
        <v>0.89300000000000002</v>
      </c>
      <c r="K77" s="2">
        <v>4.9499999999999997E-5</v>
      </c>
      <c r="L77">
        <v>0.10199999999999999</v>
      </c>
      <c r="M77">
        <v>-5.9660000000000002</v>
      </c>
      <c r="N77">
        <v>5.3800000000000001E-2</v>
      </c>
      <c r="O77">
        <v>118.035</v>
      </c>
      <c r="P77">
        <v>0.51300000000000001</v>
      </c>
      <c r="Q77">
        <v>72</v>
      </c>
      <c r="R77">
        <f t="shared" si="1"/>
        <v>1</v>
      </c>
      <c r="S77">
        <v>207440</v>
      </c>
    </row>
    <row r="78" spans="1:19" x14ac:dyDescent="0.45">
      <c r="A78">
        <v>77</v>
      </c>
      <c r="B78" t="s">
        <v>248</v>
      </c>
      <c r="C78" t="s">
        <v>227</v>
      </c>
      <c r="D78" s="1">
        <v>41640</v>
      </c>
      <c r="E78">
        <v>8</v>
      </c>
      <c r="F78" t="s">
        <v>249</v>
      </c>
      <c r="G78" t="s">
        <v>250</v>
      </c>
      <c r="H78">
        <v>8.8499999999999995E-2</v>
      </c>
      <c r="I78">
        <v>0.64600000000000002</v>
      </c>
      <c r="J78">
        <v>0.79400000000000004</v>
      </c>
      <c r="K78" s="2">
        <v>6.1600000000000003E-6</v>
      </c>
      <c r="L78">
        <v>0.20100000000000001</v>
      </c>
      <c r="M78">
        <v>-6.1040000000000001</v>
      </c>
      <c r="N78">
        <v>0.19</v>
      </c>
      <c r="O78">
        <v>170.21600000000001</v>
      </c>
      <c r="P78">
        <v>0.28699999999999998</v>
      </c>
      <c r="Q78">
        <v>67</v>
      </c>
      <c r="R78">
        <f t="shared" si="1"/>
        <v>0</v>
      </c>
      <c r="S78">
        <v>211933</v>
      </c>
    </row>
    <row r="79" spans="1:19" x14ac:dyDescent="0.45">
      <c r="A79">
        <v>78</v>
      </c>
      <c r="B79" t="s">
        <v>251</v>
      </c>
      <c r="C79" t="s">
        <v>227</v>
      </c>
      <c r="D79" s="1">
        <v>41640</v>
      </c>
      <c r="E79">
        <v>9</v>
      </c>
      <c r="F79" t="s">
        <v>252</v>
      </c>
      <c r="G79" t="s">
        <v>253</v>
      </c>
      <c r="H79">
        <v>6.9199999999999998E-2</v>
      </c>
      <c r="I79">
        <v>0.55000000000000004</v>
      </c>
      <c r="J79">
        <v>0.68799999999999994</v>
      </c>
      <c r="K79">
        <v>1.4400000000000001E-3</v>
      </c>
      <c r="L79">
        <v>0.106</v>
      </c>
      <c r="M79">
        <v>-7.4160000000000004</v>
      </c>
      <c r="N79">
        <v>8.9700000000000002E-2</v>
      </c>
      <c r="O79">
        <v>139.99700000000001</v>
      </c>
      <c r="P79">
        <v>0.46500000000000002</v>
      </c>
      <c r="Q79">
        <v>66</v>
      </c>
      <c r="R79">
        <f t="shared" si="1"/>
        <v>0</v>
      </c>
      <c r="S79">
        <v>220440</v>
      </c>
    </row>
    <row r="80" spans="1:19" x14ac:dyDescent="0.45">
      <c r="A80">
        <v>79</v>
      </c>
      <c r="B80" t="s">
        <v>254</v>
      </c>
      <c r="C80" t="s">
        <v>227</v>
      </c>
      <c r="D80" s="1">
        <v>41640</v>
      </c>
      <c r="E80">
        <v>10</v>
      </c>
      <c r="F80" t="s">
        <v>255</v>
      </c>
      <c r="G80" t="s">
        <v>256</v>
      </c>
      <c r="H80">
        <v>3.64E-3</v>
      </c>
      <c r="I80">
        <v>0.76500000000000001</v>
      </c>
      <c r="J80">
        <v>0.65600000000000003</v>
      </c>
      <c r="K80">
        <v>8.6800000000000002E-3</v>
      </c>
      <c r="L80">
        <v>9.1800000000000007E-2</v>
      </c>
      <c r="M80">
        <v>-6.1120000000000001</v>
      </c>
      <c r="N80">
        <v>5.04E-2</v>
      </c>
      <c r="O80">
        <v>119.997</v>
      </c>
      <c r="P80">
        <v>0.54500000000000004</v>
      </c>
      <c r="Q80">
        <v>72</v>
      </c>
      <c r="R80">
        <f t="shared" si="1"/>
        <v>1</v>
      </c>
      <c r="S80">
        <v>247533</v>
      </c>
    </row>
    <row r="81" spans="1:19" x14ac:dyDescent="0.45">
      <c r="A81">
        <v>80</v>
      </c>
      <c r="B81" t="s">
        <v>257</v>
      </c>
      <c r="C81" t="s">
        <v>227</v>
      </c>
      <c r="D81" s="1">
        <v>41640</v>
      </c>
      <c r="E81">
        <v>11</v>
      </c>
      <c r="F81" t="s">
        <v>258</v>
      </c>
      <c r="G81" t="s">
        <v>259</v>
      </c>
      <c r="H81">
        <v>0.67800000000000005</v>
      </c>
      <c r="I81">
        <v>0.48099999999999998</v>
      </c>
      <c r="J81">
        <v>0.435</v>
      </c>
      <c r="K81">
        <v>0</v>
      </c>
      <c r="L81">
        <v>9.2799999999999994E-2</v>
      </c>
      <c r="M81">
        <v>-8.7949999999999999</v>
      </c>
      <c r="N81">
        <v>3.2099999999999997E-2</v>
      </c>
      <c r="O81">
        <v>143.94999999999999</v>
      </c>
      <c r="P81">
        <v>0.107</v>
      </c>
      <c r="Q81">
        <v>65</v>
      </c>
      <c r="R81">
        <f t="shared" si="1"/>
        <v>0</v>
      </c>
      <c r="S81">
        <v>250093</v>
      </c>
    </row>
    <row r="82" spans="1:19" x14ac:dyDescent="0.45">
      <c r="A82">
        <v>81</v>
      </c>
      <c r="B82" t="s">
        <v>260</v>
      </c>
      <c r="C82" t="s">
        <v>227</v>
      </c>
      <c r="D82" s="1">
        <v>41640</v>
      </c>
      <c r="E82">
        <v>12</v>
      </c>
      <c r="F82" t="s">
        <v>261</v>
      </c>
      <c r="G82" t="s">
        <v>262</v>
      </c>
      <c r="H82">
        <v>0.245</v>
      </c>
      <c r="I82">
        <v>0.60199999999999998</v>
      </c>
      <c r="J82">
        <v>0.755</v>
      </c>
      <c r="K82">
        <v>0</v>
      </c>
      <c r="L82">
        <v>0.17799999999999999</v>
      </c>
      <c r="M82">
        <v>-4.9909999999999997</v>
      </c>
      <c r="N82">
        <v>7.0999999999999994E-2</v>
      </c>
      <c r="O82">
        <v>159.965</v>
      </c>
      <c r="P82">
        <v>0.495</v>
      </c>
      <c r="Q82">
        <v>69</v>
      </c>
      <c r="R82">
        <f t="shared" si="1"/>
        <v>1</v>
      </c>
      <c r="S82">
        <v>195706</v>
      </c>
    </row>
    <row r="83" spans="1:19" x14ac:dyDescent="0.45">
      <c r="A83">
        <v>82</v>
      </c>
      <c r="B83" t="s">
        <v>263</v>
      </c>
      <c r="C83" t="s">
        <v>227</v>
      </c>
      <c r="D83" s="1">
        <v>41640</v>
      </c>
      <c r="E83">
        <v>13</v>
      </c>
      <c r="F83" t="s">
        <v>264</v>
      </c>
      <c r="G83" t="s">
        <v>265</v>
      </c>
      <c r="H83">
        <v>0.23200000000000001</v>
      </c>
      <c r="I83">
        <v>0.81499999999999995</v>
      </c>
      <c r="J83">
        <v>0.377</v>
      </c>
      <c r="K83">
        <v>0</v>
      </c>
      <c r="L83">
        <v>0.1</v>
      </c>
      <c r="M83">
        <v>-7.7539999999999996</v>
      </c>
      <c r="N83">
        <v>3.4599999999999999E-2</v>
      </c>
      <c r="O83">
        <v>103.97</v>
      </c>
      <c r="P83">
        <v>0.21099999999999999</v>
      </c>
      <c r="Q83">
        <v>72</v>
      </c>
      <c r="R83">
        <f t="shared" si="1"/>
        <v>1</v>
      </c>
      <c r="S83">
        <v>271000</v>
      </c>
    </row>
    <row r="84" spans="1:19" x14ac:dyDescent="0.45">
      <c r="A84">
        <v>83</v>
      </c>
      <c r="B84" t="s">
        <v>266</v>
      </c>
      <c r="C84" t="s">
        <v>227</v>
      </c>
      <c r="D84" s="1">
        <v>41640</v>
      </c>
      <c r="E84">
        <v>14</v>
      </c>
      <c r="F84" t="s">
        <v>267</v>
      </c>
      <c r="G84" t="s">
        <v>268</v>
      </c>
      <c r="H84">
        <v>4.9299999999999997E-2</v>
      </c>
      <c r="I84">
        <v>0.42199999999999999</v>
      </c>
      <c r="J84">
        <v>0.69199999999999995</v>
      </c>
      <c r="K84" s="2">
        <v>2.5700000000000001E-5</v>
      </c>
      <c r="L84">
        <v>0.17699999999999999</v>
      </c>
      <c r="M84">
        <v>-5.4470000000000001</v>
      </c>
      <c r="N84">
        <v>5.4899999999999997E-2</v>
      </c>
      <c r="O84">
        <v>184.01400000000001</v>
      </c>
      <c r="P84">
        <v>0.19700000000000001</v>
      </c>
      <c r="Q84">
        <v>73</v>
      </c>
      <c r="R84">
        <f t="shared" si="1"/>
        <v>1</v>
      </c>
      <c r="S84">
        <v>245560</v>
      </c>
    </row>
    <row r="85" spans="1:19" x14ac:dyDescent="0.45">
      <c r="A85">
        <v>84</v>
      </c>
      <c r="B85" t="s">
        <v>269</v>
      </c>
      <c r="C85" t="s">
        <v>227</v>
      </c>
      <c r="D85" s="1">
        <v>41640</v>
      </c>
      <c r="E85">
        <v>15</v>
      </c>
      <c r="F85" t="s">
        <v>270</v>
      </c>
      <c r="G85" t="s">
        <v>271</v>
      </c>
      <c r="H85">
        <v>0.70699999999999996</v>
      </c>
      <c r="I85">
        <v>0.47399999999999998</v>
      </c>
      <c r="J85">
        <v>0.48</v>
      </c>
      <c r="K85">
        <v>1.08E-4</v>
      </c>
      <c r="L85">
        <v>9.0300000000000005E-2</v>
      </c>
      <c r="M85">
        <v>-8.8940000000000001</v>
      </c>
      <c r="N85">
        <v>6.2199999999999998E-2</v>
      </c>
      <c r="O85">
        <v>170.10900000000001</v>
      </c>
      <c r="P85">
        <v>0.31900000000000001</v>
      </c>
      <c r="Q85">
        <v>72</v>
      </c>
      <c r="R85">
        <f t="shared" si="1"/>
        <v>1</v>
      </c>
      <c r="S85">
        <v>267106</v>
      </c>
    </row>
    <row r="86" spans="1:19" x14ac:dyDescent="0.45">
      <c r="A86">
        <v>85</v>
      </c>
      <c r="B86" t="s">
        <v>272</v>
      </c>
      <c r="C86" t="s">
        <v>227</v>
      </c>
      <c r="D86" s="1">
        <v>41640</v>
      </c>
      <c r="E86">
        <v>16</v>
      </c>
      <c r="F86" t="s">
        <v>273</v>
      </c>
      <c r="G86" t="s">
        <v>274</v>
      </c>
      <c r="H86">
        <v>4.6299999999999996E-3</v>
      </c>
      <c r="I86">
        <v>0.63300000000000001</v>
      </c>
      <c r="J86">
        <v>0.88900000000000001</v>
      </c>
      <c r="K86">
        <v>4.5800000000000002E-4</v>
      </c>
      <c r="L86">
        <v>6.5799999999999997E-2</v>
      </c>
      <c r="M86">
        <v>-5.87</v>
      </c>
      <c r="N86">
        <v>7.1499999999999994E-2</v>
      </c>
      <c r="O86">
        <v>121.956</v>
      </c>
      <c r="P86">
        <v>0.58399999999999996</v>
      </c>
      <c r="Q86">
        <v>78</v>
      </c>
      <c r="R86">
        <f t="shared" si="1"/>
        <v>1</v>
      </c>
      <c r="S86">
        <v>230466</v>
      </c>
    </row>
    <row r="87" spans="1:19" x14ac:dyDescent="0.45">
      <c r="A87">
        <v>86</v>
      </c>
      <c r="B87" t="s">
        <v>275</v>
      </c>
      <c r="C87" t="s">
        <v>276</v>
      </c>
      <c r="D87" s="1">
        <v>43049</v>
      </c>
      <c r="E87">
        <v>1</v>
      </c>
      <c r="F87" t="s">
        <v>277</v>
      </c>
      <c r="G87" t="s">
        <v>278</v>
      </c>
      <c r="H87">
        <v>5.2699999999999997E-2</v>
      </c>
      <c r="I87">
        <v>0.61299999999999999</v>
      </c>
      <c r="J87">
        <v>0.76400000000000001</v>
      </c>
      <c r="K87">
        <v>0</v>
      </c>
      <c r="L87">
        <v>0.19700000000000001</v>
      </c>
      <c r="M87">
        <v>-6.5090000000000003</v>
      </c>
      <c r="N87">
        <v>0.13600000000000001</v>
      </c>
      <c r="O87">
        <v>160.01499999999999</v>
      </c>
      <c r="P87">
        <v>0.41699999999999998</v>
      </c>
      <c r="Q87">
        <v>83</v>
      </c>
      <c r="R87">
        <f t="shared" si="1"/>
        <v>1</v>
      </c>
      <c r="S87">
        <v>208186</v>
      </c>
    </row>
    <row r="88" spans="1:19" x14ac:dyDescent="0.45">
      <c r="A88">
        <v>87</v>
      </c>
      <c r="B88" t="s">
        <v>279</v>
      </c>
      <c r="C88" t="s">
        <v>276</v>
      </c>
      <c r="D88" s="1">
        <v>43049</v>
      </c>
      <c r="E88">
        <v>2</v>
      </c>
      <c r="F88" t="s">
        <v>280</v>
      </c>
      <c r="G88" t="s">
        <v>281</v>
      </c>
      <c r="H88">
        <v>8.4499999999999992E-3</v>
      </c>
      <c r="I88">
        <v>0.64900000000000002</v>
      </c>
      <c r="J88">
        <v>0.58899999999999997</v>
      </c>
      <c r="K88">
        <v>0</v>
      </c>
      <c r="L88">
        <v>0.108</v>
      </c>
      <c r="M88">
        <v>-6.2370000000000001</v>
      </c>
      <c r="N88">
        <v>5.5800000000000002E-2</v>
      </c>
      <c r="O88">
        <v>159.07300000000001</v>
      </c>
      <c r="P88">
        <v>0.151</v>
      </c>
      <c r="Q88">
        <v>80</v>
      </c>
      <c r="R88">
        <f t="shared" si="1"/>
        <v>1</v>
      </c>
      <c r="S88">
        <v>244826</v>
      </c>
    </row>
    <row r="89" spans="1:19" x14ac:dyDescent="0.45">
      <c r="A89">
        <v>88</v>
      </c>
      <c r="B89" t="s">
        <v>282</v>
      </c>
      <c r="C89" t="s">
        <v>276</v>
      </c>
      <c r="D89" s="1">
        <v>43049</v>
      </c>
      <c r="E89">
        <v>3</v>
      </c>
      <c r="F89" t="s">
        <v>283</v>
      </c>
      <c r="G89" t="s">
        <v>284</v>
      </c>
      <c r="H89">
        <v>6.7900000000000002E-2</v>
      </c>
      <c r="I89">
        <v>0.69599999999999995</v>
      </c>
      <c r="J89">
        <v>0.60199999999999998</v>
      </c>
      <c r="K89" s="2">
        <v>2.1100000000000001E-5</v>
      </c>
      <c r="L89">
        <v>6.9599999999999995E-2</v>
      </c>
      <c r="M89">
        <v>-6.1559999999999997</v>
      </c>
      <c r="N89">
        <v>0.159</v>
      </c>
      <c r="O89">
        <v>82.989000000000004</v>
      </c>
      <c r="P89">
        <v>0.30499999999999999</v>
      </c>
      <c r="Q89">
        <v>81</v>
      </c>
      <c r="R89">
        <f t="shared" si="1"/>
        <v>1</v>
      </c>
      <c r="S89">
        <v>238253</v>
      </c>
    </row>
    <row r="90" spans="1:19" x14ac:dyDescent="0.45">
      <c r="A90">
        <v>89</v>
      </c>
      <c r="B90" t="s">
        <v>285</v>
      </c>
      <c r="C90" t="s">
        <v>276</v>
      </c>
      <c r="D90" s="1">
        <v>43049</v>
      </c>
      <c r="E90">
        <v>4</v>
      </c>
      <c r="F90" t="s">
        <v>286</v>
      </c>
      <c r="G90" t="s">
        <v>287</v>
      </c>
      <c r="H90">
        <v>0.106</v>
      </c>
      <c r="I90">
        <v>0.61499999999999999</v>
      </c>
      <c r="J90">
        <v>0.53400000000000003</v>
      </c>
      <c r="K90" s="2">
        <v>1.7600000000000001E-5</v>
      </c>
      <c r="L90">
        <v>6.0699999999999997E-2</v>
      </c>
      <c r="M90">
        <v>-6.7190000000000003</v>
      </c>
      <c r="N90">
        <v>3.8600000000000002E-2</v>
      </c>
      <c r="O90">
        <v>135.917</v>
      </c>
      <c r="P90">
        <v>0.193</v>
      </c>
      <c r="Q90">
        <v>90</v>
      </c>
      <c r="R90">
        <f t="shared" si="1"/>
        <v>1</v>
      </c>
      <c r="S90">
        <v>236413</v>
      </c>
    </row>
    <row r="91" spans="1:19" x14ac:dyDescent="0.45">
      <c r="A91">
        <v>90</v>
      </c>
      <c r="B91" t="s">
        <v>288</v>
      </c>
      <c r="C91" t="s">
        <v>276</v>
      </c>
      <c r="D91" s="1">
        <v>43049</v>
      </c>
      <c r="E91">
        <v>5</v>
      </c>
      <c r="F91" t="s">
        <v>289</v>
      </c>
      <c r="G91" t="s">
        <v>290</v>
      </c>
      <c r="H91">
        <v>0.216</v>
      </c>
      <c r="I91">
        <v>0.75</v>
      </c>
      <c r="J91">
        <v>0.40400000000000003</v>
      </c>
      <c r="K91">
        <v>3.57E-4</v>
      </c>
      <c r="L91">
        <v>9.11E-2</v>
      </c>
      <c r="M91">
        <v>-10.178000000000001</v>
      </c>
      <c r="N91">
        <v>6.8199999999999997E-2</v>
      </c>
      <c r="O91">
        <v>95.045000000000002</v>
      </c>
      <c r="P91">
        <v>4.99E-2</v>
      </c>
      <c r="Q91">
        <v>86</v>
      </c>
      <c r="R91">
        <f t="shared" si="1"/>
        <v>1</v>
      </c>
      <c r="S91">
        <v>232253</v>
      </c>
    </row>
    <row r="92" spans="1:19" x14ac:dyDescent="0.45">
      <c r="A92">
        <v>91</v>
      </c>
      <c r="B92" t="s">
        <v>291</v>
      </c>
      <c r="C92" t="s">
        <v>276</v>
      </c>
      <c r="D92" s="1">
        <v>43049</v>
      </c>
      <c r="E92">
        <v>6</v>
      </c>
      <c r="F92" t="s">
        <v>292</v>
      </c>
      <c r="G92" t="s">
        <v>293</v>
      </c>
      <c r="H92">
        <v>0.20399999999999999</v>
      </c>
      <c r="I92">
        <v>0.76600000000000001</v>
      </c>
      <c r="J92">
        <v>0.70899999999999996</v>
      </c>
      <c r="K92" s="2">
        <v>1.4100000000000001E-5</v>
      </c>
      <c r="L92">
        <v>0.126</v>
      </c>
      <c r="M92">
        <v>-6.4710000000000001</v>
      </c>
      <c r="N92">
        <v>0.123</v>
      </c>
      <c r="O92">
        <v>128.07</v>
      </c>
      <c r="P92">
        <v>0.50600000000000001</v>
      </c>
      <c r="Q92">
        <v>85</v>
      </c>
      <c r="R92">
        <f t="shared" si="1"/>
        <v>1</v>
      </c>
      <c r="S92">
        <v>211853</v>
      </c>
    </row>
    <row r="93" spans="1:19" x14ac:dyDescent="0.45">
      <c r="A93">
        <v>92</v>
      </c>
      <c r="B93" t="s">
        <v>294</v>
      </c>
      <c r="C93" t="s">
        <v>276</v>
      </c>
      <c r="D93" s="1">
        <v>43049</v>
      </c>
      <c r="E93">
        <v>7</v>
      </c>
      <c r="F93" t="s">
        <v>295</v>
      </c>
      <c r="G93" t="s">
        <v>296</v>
      </c>
      <c r="H93">
        <v>0.122</v>
      </c>
      <c r="I93">
        <v>0.57399999999999995</v>
      </c>
      <c r="J93">
        <v>0.61</v>
      </c>
      <c r="K93" s="2">
        <v>1.1000000000000001E-6</v>
      </c>
      <c r="L93">
        <v>0.13</v>
      </c>
      <c r="M93">
        <v>-7.2830000000000004</v>
      </c>
      <c r="N93">
        <v>7.3200000000000001E-2</v>
      </c>
      <c r="O93">
        <v>74.956999999999994</v>
      </c>
      <c r="P93">
        <v>0.374</v>
      </c>
      <c r="Q93">
        <v>75</v>
      </c>
      <c r="R93">
        <f t="shared" si="1"/>
        <v>1</v>
      </c>
      <c r="S93">
        <v>227906</v>
      </c>
    </row>
    <row r="94" spans="1:19" x14ac:dyDescent="0.45">
      <c r="A94">
        <v>93</v>
      </c>
      <c r="B94" t="s">
        <v>297</v>
      </c>
      <c r="C94" t="s">
        <v>276</v>
      </c>
      <c r="D94" s="1">
        <v>43049</v>
      </c>
      <c r="E94">
        <v>8</v>
      </c>
      <c r="F94" t="s">
        <v>298</v>
      </c>
      <c r="G94" t="s">
        <v>299</v>
      </c>
      <c r="H94">
        <v>7.1300000000000002E-2</v>
      </c>
      <c r="I94">
        <v>0.8</v>
      </c>
      <c r="J94">
        <v>0.53500000000000003</v>
      </c>
      <c r="K94" s="2">
        <v>9.4800000000000007E-6</v>
      </c>
      <c r="L94">
        <v>0.21299999999999999</v>
      </c>
      <c r="M94">
        <v>-6.6840000000000002</v>
      </c>
      <c r="N94">
        <v>0.13500000000000001</v>
      </c>
      <c r="O94">
        <v>92.027000000000001</v>
      </c>
      <c r="P94">
        <v>0.45100000000000001</v>
      </c>
      <c r="Q94">
        <v>83</v>
      </c>
      <c r="R94">
        <f t="shared" si="1"/>
        <v>1</v>
      </c>
      <c r="S94">
        <v>209680</v>
      </c>
    </row>
    <row r="95" spans="1:19" x14ac:dyDescent="0.45">
      <c r="A95">
        <v>94</v>
      </c>
      <c r="B95" t="s">
        <v>300</v>
      </c>
      <c r="C95" t="s">
        <v>276</v>
      </c>
      <c r="D95" s="1">
        <v>43049</v>
      </c>
      <c r="E95">
        <v>9</v>
      </c>
      <c r="F95" t="s">
        <v>301</v>
      </c>
      <c r="G95" t="s">
        <v>302</v>
      </c>
      <c r="H95">
        <v>4.6499999999999996E-3</v>
      </c>
      <c r="I95">
        <v>0.56200000000000006</v>
      </c>
      <c r="J95">
        <v>0.68899999999999995</v>
      </c>
      <c r="K95" s="2">
        <v>2.2299999999999998E-6</v>
      </c>
      <c r="L95">
        <v>8.8800000000000004E-2</v>
      </c>
      <c r="M95">
        <v>-6.7450000000000001</v>
      </c>
      <c r="N95">
        <v>0.127</v>
      </c>
      <c r="O95">
        <v>172.054</v>
      </c>
      <c r="P95">
        <v>0.35099999999999998</v>
      </c>
      <c r="Q95">
        <v>86</v>
      </c>
      <c r="R95">
        <f t="shared" si="1"/>
        <v>1</v>
      </c>
      <c r="S95">
        <v>233626</v>
      </c>
    </row>
    <row r="96" spans="1:19" x14ac:dyDescent="0.45">
      <c r="A96">
        <v>95</v>
      </c>
      <c r="B96" t="s">
        <v>303</v>
      </c>
      <c r="C96" t="s">
        <v>276</v>
      </c>
      <c r="D96" s="1">
        <v>43049</v>
      </c>
      <c r="E96">
        <v>10</v>
      </c>
      <c r="F96" t="s">
        <v>304</v>
      </c>
      <c r="G96" t="s">
        <v>305</v>
      </c>
      <c r="H96">
        <v>8.8199999999999997E-3</v>
      </c>
      <c r="I96">
        <v>0.67500000000000004</v>
      </c>
      <c r="J96">
        <v>0.70299999999999996</v>
      </c>
      <c r="K96" s="2">
        <v>2.21E-6</v>
      </c>
      <c r="L96">
        <v>3.9100000000000003E-2</v>
      </c>
      <c r="M96">
        <v>-7.9020000000000001</v>
      </c>
      <c r="N96">
        <v>3.8199999999999998E-2</v>
      </c>
      <c r="O96">
        <v>110.01</v>
      </c>
      <c r="P96">
        <v>0.314</v>
      </c>
      <c r="Q96">
        <v>79</v>
      </c>
      <c r="R96">
        <f t="shared" si="1"/>
        <v>1</v>
      </c>
      <c r="S96">
        <v>214320</v>
      </c>
    </row>
    <row r="97" spans="1:19" x14ac:dyDescent="0.45">
      <c r="A97">
        <v>96</v>
      </c>
      <c r="B97" t="s">
        <v>306</v>
      </c>
      <c r="C97" t="s">
        <v>276</v>
      </c>
      <c r="D97" s="1">
        <v>43049</v>
      </c>
      <c r="E97">
        <v>11</v>
      </c>
      <c r="F97" t="s">
        <v>307</v>
      </c>
      <c r="G97" t="s">
        <v>308</v>
      </c>
      <c r="H97">
        <v>6.0400000000000002E-2</v>
      </c>
      <c r="I97">
        <v>0.624</v>
      </c>
      <c r="J97">
        <v>0.69099999999999995</v>
      </c>
      <c r="K97" s="2">
        <v>1.1E-5</v>
      </c>
      <c r="L97">
        <v>0.13800000000000001</v>
      </c>
      <c r="M97">
        <v>-6.6859999999999999</v>
      </c>
      <c r="N97">
        <v>0.19600000000000001</v>
      </c>
      <c r="O97">
        <v>160.024</v>
      </c>
      <c r="P97">
        <v>0.28399999999999997</v>
      </c>
      <c r="Q97">
        <v>77</v>
      </c>
      <c r="R97">
        <f t="shared" si="1"/>
        <v>1</v>
      </c>
      <c r="S97">
        <v>211506</v>
      </c>
    </row>
    <row r="98" spans="1:19" x14ac:dyDescent="0.45">
      <c r="A98">
        <v>97</v>
      </c>
      <c r="B98" t="s">
        <v>309</v>
      </c>
      <c r="C98" t="s">
        <v>276</v>
      </c>
      <c r="D98" s="1">
        <v>43049</v>
      </c>
      <c r="E98">
        <v>12</v>
      </c>
      <c r="F98" t="s">
        <v>310</v>
      </c>
      <c r="G98" t="s">
        <v>311</v>
      </c>
      <c r="H98">
        <v>3.2899999999999999E-2</v>
      </c>
      <c r="I98">
        <v>0.71899999999999997</v>
      </c>
      <c r="J98">
        <v>0.46899999999999997</v>
      </c>
      <c r="K98">
        <v>0</v>
      </c>
      <c r="L98">
        <v>0.16900000000000001</v>
      </c>
      <c r="M98">
        <v>-8.7919999999999998</v>
      </c>
      <c r="N98">
        <v>5.33E-2</v>
      </c>
      <c r="O98">
        <v>120.08499999999999</v>
      </c>
      <c r="P98">
        <v>8.5099999999999995E-2</v>
      </c>
      <c r="Q98">
        <v>81</v>
      </c>
      <c r="R98">
        <f t="shared" si="1"/>
        <v>1</v>
      </c>
      <c r="S98">
        <v>230373</v>
      </c>
    </row>
    <row r="99" spans="1:19" x14ac:dyDescent="0.45">
      <c r="A99">
        <v>98</v>
      </c>
      <c r="B99" t="s">
        <v>312</v>
      </c>
      <c r="C99" t="s">
        <v>276</v>
      </c>
      <c r="D99" s="1">
        <v>43049</v>
      </c>
      <c r="E99">
        <v>13</v>
      </c>
      <c r="F99" t="s">
        <v>313</v>
      </c>
      <c r="G99" t="s">
        <v>314</v>
      </c>
      <c r="H99">
        <v>1.5599999999999999E-2</v>
      </c>
      <c r="I99">
        <v>0.56699999999999995</v>
      </c>
      <c r="J99">
        <v>0.78900000000000003</v>
      </c>
      <c r="K99">
        <v>0</v>
      </c>
      <c r="L99">
        <v>0.38200000000000001</v>
      </c>
      <c r="M99">
        <v>-5.9859999999999998</v>
      </c>
      <c r="N99">
        <v>0.115</v>
      </c>
      <c r="O99">
        <v>163.96</v>
      </c>
      <c r="P99">
        <v>0.438</v>
      </c>
      <c r="Q99">
        <v>77</v>
      </c>
      <c r="R99">
        <f t="shared" si="1"/>
        <v>1</v>
      </c>
      <c r="S99">
        <v>207133</v>
      </c>
    </row>
    <row r="100" spans="1:19" x14ac:dyDescent="0.45">
      <c r="A100">
        <v>99</v>
      </c>
      <c r="B100" t="s">
        <v>315</v>
      </c>
      <c r="C100" t="s">
        <v>276</v>
      </c>
      <c r="D100" s="1">
        <v>43049</v>
      </c>
      <c r="E100">
        <v>14</v>
      </c>
      <c r="F100" t="s">
        <v>316</v>
      </c>
      <c r="G100" t="s">
        <v>317</v>
      </c>
      <c r="H100">
        <v>0.186</v>
      </c>
      <c r="I100">
        <v>0.59799999999999998</v>
      </c>
      <c r="J100">
        <v>0.504</v>
      </c>
      <c r="K100">
        <v>2.2100000000000001E-4</v>
      </c>
      <c r="L100">
        <v>0.34</v>
      </c>
      <c r="M100">
        <v>-9.8740000000000006</v>
      </c>
      <c r="N100">
        <v>7.3099999999999998E-2</v>
      </c>
      <c r="O100">
        <v>163.95400000000001</v>
      </c>
      <c r="P100">
        <v>0.252</v>
      </c>
      <c r="Q100">
        <v>80</v>
      </c>
      <c r="R100">
        <f t="shared" si="1"/>
        <v>1</v>
      </c>
      <c r="S100">
        <v>203506</v>
      </c>
    </row>
    <row r="101" spans="1:19" x14ac:dyDescent="0.45">
      <c r="A101">
        <v>100</v>
      </c>
      <c r="B101" t="s">
        <v>318</v>
      </c>
      <c r="C101" t="s">
        <v>276</v>
      </c>
      <c r="D101" s="1">
        <v>43049</v>
      </c>
      <c r="E101">
        <v>15</v>
      </c>
      <c r="F101" t="s">
        <v>319</v>
      </c>
      <c r="G101" t="s">
        <v>320</v>
      </c>
      <c r="H101">
        <v>0.92100000000000004</v>
      </c>
      <c r="I101">
        <v>0.66100000000000003</v>
      </c>
      <c r="J101">
        <v>0.151</v>
      </c>
      <c r="K101">
        <v>0</v>
      </c>
      <c r="L101">
        <v>0.13</v>
      </c>
      <c r="M101">
        <v>-12.864000000000001</v>
      </c>
      <c r="N101">
        <v>3.5400000000000001E-2</v>
      </c>
      <c r="O101">
        <v>94.921999999999997</v>
      </c>
      <c r="P101">
        <v>0.23</v>
      </c>
      <c r="Q101">
        <v>75</v>
      </c>
      <c r="R101">
        <f t="shared" si="1"/>
        <v>1</v>
      </c>
      <c r="S101">
        <v>235466</v>
      </c>
    </row>
    <row r="102" spans="1:19" x14ac:dyDescent="0.45">
      <c r="A102">
        <v>101</v>
      </c>
      <c r="B102" t="s">
        <v>321</v>
      </c>
      <c r="C102" t="s">
        <v>322</v>
      </c>
      <c r="D102" s="1">
        <v>43700</v>
      </c>
      <c r="E102">
        <v>1</v>
      </c>
      <c r="F102" t="s">
        <v>323</v>
      </c>
      <c r="G102" t="s">
        <v>324</v>
      </c>
      <c r="H102">
        <v>0.29799999999999999</v>
      </c>
      <c r="I102">
        <v>0.66400000000000003</v>
      </c>
      <c r="J102">
        <v>0.316</v>
      </c>
      <c r="K102" s="2">
        <v>2.03E-6</v>
      </c>
      <c r="L102">
        <v>8.1199999999999994E-2</v>
      </c>
      <c r="M102">
        <v>-10.345000000000001</v>
      </c>
      <c r="N102">
        <v>0.51900000000000002</v>
      </c>
      <c r="O102">
        <v>92.875</v>
      </c>
      <c r="P102">
        <v>0.54100000000000004</v>
      </c>
      <c r="Q102">
        <v>76</v>
      </c>
      <c r="R102">
        <f t="shared" si="1"/>
        <v>1</v>
      </c>
      <c r="S102">
        <v>170640</v>
      </c>
    </row>
    <row r="103" spans="1:19" x14ac:dyDescent="0.45">
      <c r="A103">
        <v>102</v>
      </c>
      <c r="B103" t="s">
        <v>325</v>
      </c>
      <c r="C103" t="s">
        <v>322</v>
      </c>
      <c r="D103" s="1">
        <v>43700</v>
      </c>
      <c r="E103">
        <v>2</v>
      </c>
      <c r="F103" t="s">
        <v>326</v>
      </c>
      <c r="G103" t="s">
        <v>327</v>
      </c>
      <c r="H103">
        <v>0.11700000000000001</v>
      </c>
      <c r="I103">
        <v>0.55200000000000005</v>
      </c>
      <c r="J103">
        <v>0.70199999999999996</v>
      </c>
      <c r="K103" s="2">
        <v>2.0599999999999999E-5</v>
      </c>
      <c r="L103">
        <v>0.105</v>
      </c>
      <c r="M103">
        <v>-5.7069999999999999</v>
      </c>
      <c r="N103">
        <v>0.157</v>
      </c>
      <c r="O103">
        <v>169.994</v>
      </c>
      <c r="P103">
        <v>0.56399999999999995</v>
      </c>
      <c r="Q103">
        <v>98</v>
      </c>
      <c r="R103">
        <f t="shared" si="1"/>
        <v>1</v>
      </c>
      <c r="S103">
        <v>178426</v>
      </c>
    </row>
    <row r="104" spans="1:19" x14ac:dyDescent="0.45">
      <c r="A104">
        <v>103</v>
      </c>
      <c r="B104" t="s">
        <v>322</v>
      </c>
      <c r="C104" t="s">
        <v>322</v>
      </c>
      <c r="D104" s="1">
        <v>43700</v>
      </c>
      <c r="E104">
        <v>3</v>
      </c>
      <c r="F104" t="s">
        <v>328</v>
      </c>
      <c r="G104" t="s">
        <v>329</v>
      </c>
      <c r="H104">
        <v>0.49199999999999999</v>
      </c>
      <c r="I104">
        <v>0.35899999999999999</v>
      </c>
      <c r="J104">
        <v>0.54300000000000004</v>
      </c>
      <c r="K104" s="2">
        <v>1.5800000000000001E-5</v>
      </c>
      <c r="L104">
        <v>0.11799999999999999</v>
      </c>
      <c r="M104">
        <v>-7.5819999999999999</v>
      </c>
      <c r="N104">
        <v>9.1899999999999996E-2</v>
      </c>
      <c r="O104">
        <v>68.534000000000006</v>
      </c>
      <c r="P104">
        <v>0.45300000000000001</v>
      </c>
      <c r="Q104">
        <v>90</v>
      </c>
      <c r="R104">
        <f t="shared" si="1"/>
        <v>1</v>
      </c>
      <c r="S104">
        <v>221306</v>
      </c>
    </row>
    <row r="105" spans="1:19" x14ac:dyDescent="0.45">
      <c r="A105">
        <v>104</v>
      </c>
      <c r="B105" t="s">
        <v>330</v>
      </c>
      <c r="C105" t="s">
        <v>322</v>
      </c>
      <c r="D105" s="1">
        <v>43700</v>
      </c>
      <c r="E105">
        <v>4</v>
      </c>
      <c r="F105" t="s">
        <v>331</v>
      </c>
      <c r="G105" t="s">
        <v>332</v>
      </c>
      <c r="H105">
        <v>7.6700000000000004E-2</v>
      </c>
      <c r="I105">
        <v>0.77700000000000002</v>
      </c>
      <c r="J105">
        <v>0.65800000000000003</v>
      </c>
      <c r="K105">
        <v>0</v>
      </c>
      <c r="L105">
        <v>9.01E-2</v>
      </c>
      <c r="M105">
        <v>-5.1909999999999998</v>
      </c>
      <c r="N105">
        <v>5.3999999999999999E-2</v>
      </c>
      <c r="O105">
        <v>110.048</v>
      </c>
      <c r="P105">
        <v>0.63300000000000001</v>
      </c>
      <c r="Q105">
        <v>85</v>
      </c>
      <c r="R105">
        <f t="shared" si="1"/>
        <v>1</v>
      </c>
      <c r="S105">
        <v>190360</v>
      </c>
    </row>
    <row r="106" spans="1:19" x14ac:dyDescent="0.45">
      <c r="A106">
        <v>105</v>
      </c>
      <c r="B106" t="s">
        <v>333</v>
      </c>
      <c r="C106" t="s">
        <v>322</v>
      </c>
      <c r="D106" s="1">
        <v>43700</v>
      </c>
      <c r="E106">
        <v>5</v>
      </c>
      <c r="F106" t="s">
        <v>334</v>
      </c>
      <c r="G106" t="s">
        <v>335</v>
      </c>
      <c r="H106">
        <v>0.12</v>
      </c>
      <c r="I106">
        <v>0.29199999999999998</v>
      </c>
      <c r="J106">
        <v>0.57399999999999995</v>
      </c>
      <c r="K106">
        <v>5.6899999999999997E-3</v>
      </c>
      <c r="L106">
        <v>6.6299999999999998E-2</v>
      </c>
      <c r="M106">
        <v>-9.375</v>
      </c>
      <c r="N106">
        <v>4.0099999999999997E-2</v>
      </c>
      <c r="O106">
        <v>124.34399999999999</v>
      </c>
      <c r="P106">
        <v>0.16600000000000001</v>
      </c>
      <c r="Q106">
        <v>81</v>
      </c>
      <c r="R106">
        <f t="shared" si="1"/>
        <v>1</v>
      </c>
      <c r="S106">
        <v>211240</v>
      </c>
    </row>
    <row r="107" spans="1:19" x14ac:dyDescent="0.45">
      <c r="A107">
        <v>106</v>
      </c>
      <c r="B107" t="s">
        <v>336</v>
      </c>
      <c r="C107" t="s">
        <v>322</v>
      </c>
      <c r="D107" s="1">
        <v>43700</v>
      </c>
      <c r="E107">
        <v>6</v>
      </c>
      <c r="F107" t="s">
        <v>337</v>
      </c>
      <c r="G107" t="s">
        <v>338</v>
      </c>
      <c r="H107">
        <v>8.8900000000000003E-3</v>
      </c>
      <c r="I107">
        <v>0.89700000000000002</v>
      </c>
      <c r="J107">
        <v>0.36599999999999999</v>
      </c>
      <c r="K107">
        <v>3.5300000000000002E-4</v>
      </c>
      <c r="L107">
        <v>7.1499999999999994E-2</v>
      </c>
      <c r="M107">
        <v>-8.0289999999999999</v>
      </c>
      <c r="N107">
        <v>5.6899999999999999E-2</v>
      </c>
      <c r="O107">
        <v>100.003</v>
      </c>
      <c r="P107">
        <v>0.41599999999999998</v>
      </c>
      <c r="Q107">
        <v>78</v>
      </c>
      <c r="R107">
        <f t="shared" si="1"/>
        <v>1</v>
      </c>
      <c r="S107">
        <v>173386</v>
      </c>
    </row>
    <row r="108" spans="1:19" x14ac:dyDescent="0.45">
      <c r="A108">
        <v>107</v>
      </c>
      <c r="B108" t="s">
        <v>339</v>
      </c>
      <c r="C108" t="s">
        <v>322</v>
      </c>
      <c r="D108" s="1">
        <v>43700</v>
      </c>
      <c r="E108">
        <v>7</v>
      </c>
      <c r="F108" t="s">
        <v>340</v>
      </c>
      <c r="G108" t="s">
        <v>341</v>
      </c>
      <c r="H108">
        <v>2.8000000000000001E-2</v>
      </c>
      <c r="I108">
        <v>0.66200000000000003</v>
      </c>
      <c r="J108">
        <v>0.747</v>
      </c>
      <c r="K108">
        <v>6.1500000000000001E-3</v>
      </c>
      <c r="L108">
        <v>0.13800000000000001</v>
      </c>
      <c r="M108">
        <v>-6.9260000000000002</v>
      </c>
      <c r="N108">
        <v>7.3599999999999999E-2</v>
      </c>
      <c r="O108">
        <v>150.08799999999999</v>
      </c>
      <c r="P108">
        <v>0.48699999999999999</v>
      </c>
      <c r="Q108">
        <v>82</v>
      </c>
      <c r="R108">
        <f t="shared" si="1"/>
        <v>1</v>
      </c>
      <c r="S108">
        <v>234146</v>
      </c>
    </row>
    <row r="109" spans="1:19" x14ac:dyDescent="0.45">
      <c r="A109">
        <v>108</v>
      </c>
      <c r="B109" t="s">
        <v>342</v>
      </c>
      <c r="C109" t="s">
        <v>322</v>
      </c>
      <c r="D109" s="1">
        <v>43700</v>
      </c>
      <c r="E109">
        <v>8</v>
      </c>
      <c r="F109" t="s">
        <v>343</v>
      </c>
      <c r="G109" t="s">
        <v>344</v>
      </c>
      <c r="H109">
        <v>1.29E-2</v>
      </c>
      <c r="I109">
        <v>0.81100000000000005</v>
      </c>
      <c r="J109">
        <v>0.71899999999999997</v>
      </c>
      <c r="K109" s="2">
        <v>1.36E-5</v>
      </c>
      <c r="L109">
        <v>7.4200000000000002E-2</v>
      </c>
      <c r="M109">
        <v>-6.5529999999999999</v>
      </c>
      <c r="N109">
        <v>4.9700000000000001E-2</v>
      </c>
      <c r="O109">
        <v>103.979</v>
      </c>
      <c r="P109">
        <v>0.86499999999999999</v>
      </c>
      <c r="Q109">
        <v>85</v>
      </c>
      <c r="R109">
        <f t="shared" si="1"/>
        <v>1</v>
      </c>
      <c r="S109">
        <v>222400</v>
      </c>
    </row>
    <row r="110" spans="1:19" x14ac:dyDescent="0.45">
      <c r="A110">
        <v>109</v>
      </c>
      <c r="B110" t="s">
        <v>345</v>
      </c>
      <c r="C110" t="s">
        <v>322</v>
      </c>
      <c r="D110" s="1">
        <v>43700</v>
      </c>
      <c r="E110">
        <v>9</v>
      </c>
      <c r="F110" t="s">
        <v>346</v>
      </c>
      <c r="G110" t="s">
        <v>347</v>
      </c>
      <c r="H110">
        <v>0.78100000000000003</v>
      </c>
      <c r="I110">
        <v>0.82399999999999995</v>
      </c>
      <c r="J110">
        <v>0.624</v>
      </c>
      <c r="K110">
        <v>1.8900000000000001E-4</v>
      </c>
      <c r="L110">
        <v>0.1</v>
      </c>
      <c r="M110">
        <v>-9.7279999999999998</v>
      </c>
      <c r="N110">
        <v>8.2699999999999996E-2</v>
      </c>
      <c r="O110">
        <v>102.012</v>
      </c>
      <c r="P110">
        <v>0.248</v>
      </c>
      <c r="Q110">
        <v>80</v>
      </c>
      <c r="R110">
        <f t="shared" si="1"/>
        <v>1</v>
      </c>
      <c r="S110">
        <v>287266</v>
      </c>
    </row>
    <row r="111" spans="1:19" x14ac:dyDescent="0.45">
      <c r="A111">
        <v>110</v>
      </c>
      <c r="B111" t="s">
        <v>348</v>
      </c>
      <c r="C111" t="s">
        <v>322</v>
      </c>
      <c r="D111" s="1">
        <v>43700</v>
      </c>
      <c r="E111">
        <v>10</v>
      </c>
      <c r="F111" t="s">
        <v>349</v>
      </c>
      <c r="G111" t="s">
        <v>350</v>
      </c>
      <c r="H111">
        <v>0.45400000000000001</v>
      </c>
      <c r="I111">
        <v>0.71199999999999997</v>
      </c>
      <c r="J111">
        <v>0.73199999999999998</v>
      </c>
      <c r="K111">
        <v>0</v>
      </c>
      <c r="L111">
        <v>0.31900000000000001</v>
      </c>
      <c r="M111">
        <v>-6.7539999999999996</v>
      </c>
      <c r="N111">
        <v>6.2899999999999998E-2</v>
      </c>
      <c r="O111">
        <v>94.070999999999998</v>
      </c>
      <c r="P111">
        <v>0.313</v>
      </c>
      <c r="Q111">
        <v>79</v>
      </c>
      <c r="R111">
        <f t="shared" si="1"/>
        <v>1</v>
      </c>
      <c r="S111">
        <v>198533</v>
      </c>
    </row>
    <row r="112" spans="1:19" x14ac:dyDescent="0.45">
      <c r="A112">
        <v>111</v>
      </c>
      <c r="B112" t="s">
        <v>351</v>
      </c>
      <c r="C112" t="s">
        <v>322</v>
      </c>
      <c r="D112" s="1">
        <v>43700</v>
      </c>
      <c r="E112">
        <v>11</v>
      </c>
      <c r="F112" t="s">
        <v>352</v>
      </c>
      <c r="G112" t="s">
        <v>353</v>
      </c>
      <c r="H112">
        <v>2.46E-2</v>
      </c>
      <c r="I112">
        <v>0.69499999999999995</v>
      </c>
      <c r="J112">
        <v>0.71</v>
      </c>
      <c r="K112">
        <v>1.0399999999999999E-4</v>
      </c>
      <c r="L112">
        <v>0.13300000000000001</v>
      </c>
      <c r="M112">
        <v>-6.6390000000000002</v>
      </c>
      <c r="N112">
        <v>0.05</v>
      </c>
      <c r="O112">
        <v>157.92500000000001</v>
      </c>
      <c r="P112">
        <v>0.55700000000000005</v>
      </c>
      <c r="Q112">
        <v>81</v>
      </c>
      <c r="R112">
        <f t="shared" si="1"/>
        <v>1</v>
      </c>
      <c r="S112">
        <v>190240</v>
      </c>
    </row>
    <row r="113" spans="1:19" x14ac:dyDescent="0.45">
      <c r="A113">
        <v>112</v>
      </c>
      <c r="B113" t="s">
        <v>354</v>
      </c>
      <c r="C113" t="s">
        <v>322</v>
      </c>
      <c r="D113" s="1">
        <v>43700</v>
      </c>
      <c r="E113">
        <v>12</v>
      </c>
      <c r="F113" t="s">
        <v>355</v>
      </c>
      <c r="G113" t="s">
        <v>356</v>
      </c>
      <c r="H113">
        <v>0.90700000000000003</v>
      </c>
      <c r="I113">
        <v>0.433</v>
      </c>
      <c r="J113">
        <v>0.182</v>
      </c>
      <c r="K113">
        <v>0</v>
      </c>
      <c r="L113">
        <v>0.123</v>
      </c>
      <c r="M113">
        <v>-12.566000000000001</v>
      </c>
      <c r="N113">
        <v>6.4100000000000004E-2</v>
      </c>
      <c r="O113">
        <v>207.476</v>
      </c>
      <c r="P113">
        <v>0.42099999999999999</v>
      </c>
      <c r="Q113">
        <v>72</v>
      </c>
      <c r="R113">
        <f t="shared" si="1"/>
        <v>1</v>
      </c>
      <c r="S113">
        <v>201586</v>
      </c>
    </row>
    <row r="114" spans="1:19" x14ac:dyDescent="0.45">
      <c r="A114">
        <v>113</v>
      </c>
      <c r="B114" t="s">
        <v>357</v>
      </c>
      <c r="C114" t="s">
        <v>322</v>
      </c>
      <c r="D114" s="1">
        <v>43700</v>
      </c>
      <c r="E114">
        <v>13</v>
      </c>
      <c r="F114" t="s">
        <v>358</v>
      </c>
      <c r="G114" t="s">
        <v>359</v>
      </c>
      <c r="H114">
        <v>0.73599999999999999</v>
      </c>
      <c r="I114">
        <v>0.73899999999999999</v>
      </c>
      <c r="J114">
        <v>0.32</v>
      </c>
      <c r="K114">
        <v>1.47E-4</v>
      </c>
      <c r="L114">
        <v>0.111</v>
      </c>
      <c r="M114">
        <v>-10.862</v>
      </c>
      <c r="N114">
        <v>0.23899999999999999</v>
      </c>
      <c r="O114">
        <v>79.97</v>
      </c>
      <c r="P114">
        <v>0.35099999999999998</v>
      </c>
      <c r="Q114">
        <v>78</v>
      </c>
      <c r="R114">
        <f t="shared" si="1"/>
        <v>1</v>
      </c>
      <c r="S114">
        <v>200306</v>
      </c>
    </row>
    <row r="115" spans="1:19" x14ac:dyDescent="0.45">
      <c r="A115">
        <v>114</v>
      </c>
      <c r="B115" t="s">
        <v>360</v>
      </c>
      <c r="C115" t="s">
        <v>322</v>
      </c>
      <c r="D115" s="1">
        <v>43700</v>
      </c>
      <c r="E115">
        <v>14</v>
      </c>
      <c r="F115" t="s">
        <v>361</v>
      </c>
      <c r="G115" t="s">
        <v>362</v>
      </c>
      <c r="H115">
        <v>9.2899999999999996E-3</v>
      </c>
      <c r="I115">
        <v>0.77100000000000002</v>
      </c>
      <c r="J115">
        <v>0.67100000000000004</v>
      </c>
      <c r="K115">
        <v>0</v>
      </c>
      <c r="L115">
        <v>6.3700000000000007E-2</v>
      </c>
      <c r="M115">
        <v>-5.617</v>
      </c>
      <c r="N115">
        <v>5.5300000000000002E-2</v>
      </c>
      <c r="O115">
        <v>85.025999999999996</v>
      </c>
      <c r="P115">
        <v>0.71399999999999997</v>
      </c>
      <c r="Q115">
        <v>82</v>
      </c>
      <c r="R115">
        <f t="shared" si="1"/>
        <v>1</v>
      </c>
      <c r="S115">
        <v>171360</v>
      </c>
    </row>
    <row r="116" spans="1:19" x14ac:dyDescent="0.45">
      <c r="A116">
        <v>115</v>
      </c>
      <c r="B116" t="s">
        <v>363</v>
      </c>
      <c r="C116" t="s">
        <v>322</v>
      </c>
      <c r="D116" s="1">
        <v>43700</v>
      </c>
      <c r="E116">
        <v>15</v>
      </c>
      <c r="F116" t="s">
        <v>364</v>
      </c>
      <c r="G116" t="s">
        <v>365</v>
      </c>
      <c r="H116">
        <v>0.13</v>
      </c>
      <c r="I116">
        <v>0.75600000000000001</v>
      </c>
      <c r="J116">
        <v>0.44900000000000001</v>
      </c>
      <c r="K116">
        <v>0</v>
      </c>
      <c r="L116">
        <v>0.114</v>
      </c>
      <c r="M116">
        <v>-8.7460000000000004</v>
      </c>
      <c r="N116">
        <v>3.44E-2</v>
      </c>
      <c r="O116">
        <v>111.011</v>
      </c>
      <c r="P116">
        <v>0.39900000000000002</v>
      </c>
      <c r="Q116">
        <v>81</v>
      </c>
      <c r="R116">
        <f t="shared" si="1"/>
        <v>1</v>
      </c>
      <c r="S116">
        <v>223293</v>
      </c>
    </row>
    <row r="117" spans="1:19" x14ac:dyDescent="0.45">
      <c r="A117">
        <v>116</v>
      </c>
      <c r="B117" t="s">
        <v>366</v>
      </c>
      <c r="C117" t="s">
        <v>322</v>
      </c>
      <c r="D117" s="1">
        <v>43700</v>
      </c>
      <c r="E117">
        <v>16</v>
      </c>
      <c r="F117" t="s">
        <v>367</v>
      </c>
      <c r="G117" t="s">
        <v>368</v>
      </c>
      <c r="H117">
        <v>3.3000000000000002E-2</v>
      </c>
      <c r="I117">
        <v>0.61</v>
      </c>
      <c r="J117">
        <v>0.83</v>
      </c>
      <c r="K117">
        <v>0</v>
      </c>
      <c r="L117">
        <v>0.11799999999999999</v>
      </c>
      <c r="M117">
        <v>-4.1050000000000004</v>
      </c>
      <c r="N117">
        <v>5.7099999999999998E-2</v>
      </c>
      <c r="O117">
        <v>182.16200000000001</v>
      </c>
      <c r="P117">
        <v>0.72799999999999998</v>
      </c>
      <c r="Q117">
        <v>80</v>
      </c>
      <c r="R117">
        <f t="shared" si="1"/>
        <v>1</v>
      </c>
      <c r="S117">
        <v>193000</v>
      </c>
    </row>
    <row r="118" spans="1:19" x14ac:dyDescent="0.45">
      <c r="A118">
        <v>117</v>
      </c>
      <c r="B118" t="s">
        <v>369</v>
      </c>
      <c r="C118" t="s">
        <v>322</v>
      </c>
      <c r="D118" s="1">
        <v>43700</v>
      </c>
      <c r="E118">
        <v>17</v>
      </c>
      <c r="F118" t="s">
        <v>370</v>
      </c>
      <c r="G118" t="s">
        <v>371</v>
      </c>
      <c r="H118">
        <v>0.97099999999999997</v>
      </c>
      <c r="I118">
        <v>0.73699999999999999</v>
      </c>
      <c r="J118">
        <v>0.17499999999999999</v>
      </c>
      <c r="K118">
        <v>3.3700000000000001E-4</v>
      </c>
      <c r="L118">
        <v>0.17100000000000001</v>
      </c>
      <c r="M118">
        <v>-9.9120000000000008</v>
      </c>
      <c r="N118">
        <v>4.0099999999999997E-2</v>
      </c>
      <c r="O118">
        <v>70.007999999999996</v>
      </c>
      <c r="P118">
        <v>0.54500000000000004</v>
      </c>
      <c r="Q118">
        <v>72</v>
      </c>
      <c r="R118">
        <f t="shared" si="1"/>
        <v>1</v>
      </c>
      <c r="S118">
        <v>150440</v>
      </c>
    </row>
    <row r="119" spans="1:19" x14ac:dyDescent="0.45">
      <c r="A119">
        <v>118</v>
      </c>
      <c r="B119" t="s">
        <v>372</v>
      </c>
      <c r="C119" t="s">
        <v>322</v>
      </c>
      <c r="D119" s="1">
        <v>43700</v>
      </c>
      <c r="E119">
        <v>18</v>
      </c>
      <c r="F119" t="s">
        <v>373</v>
      </c>
      <c r="G119" t="s">
        <v>374</v>
      </c>
      <c r="H119">
        <v>0.80800000000000005</v>
      </c>
      <c r="I119">
        <v>0.55700000000000005</v>
      </c>
      <c r="J119">
        <v>0.496</v>
      </c>
      <c r="K119">
        <v>1.73E-4</v>
      </c>
      <c r="L119">
        <v>7.7200000000000005E-2</v>
      </c>
      <c r="M119">
        <v>-9.6020000000000003</v>
      </c>
      <c r="N119">
        <v>5.6300000000000003E-2</v>
      </c>
      <c r="O119">
        <v>149.983</v>
      </c>
      <c r="P119">
        <v>0.26500000000000001</v>
      </c>
      <c r="Q119">
        <v>83</v>
      </c>
      <c r="R119">
        <f t="shared" si="1"/>
        <v>1</v>
      </c>
      <c r="S119">
        <v>293453</v>
      </c>
    </row>
    <row r="120" spans="1:19" x14ac:dyDescent="0.45">
      <c r="A120">
        <v>119</v>
      </c>
      <c r="B120" t="s">
        <v>375</v>
      </c>
      <c r="C120" t="s">
        <v>376</v>
      </c>
      <c r="D120" s="1">
        <v>44061</v>
      </c>
      <c r="E120">
        <v>1</v>
      </c>
      <c r="F120" t="s">
        <v>377</v>
      </c>
      <c r="G120" t="s">
        <v>378</v>
      </c>
      <c r="H120">
        <v>0.75</v>
      </c>
      <c r="I120">
        <v>0.78</v>
      </c>
      <c r="J120">
        <v>0.36099999999999999</v>
      </c>
      <c r="K120" s="2">
        <v>7.1400000000000002E-6</v>
      </c>
      <c r="L120">
        <v>0.108</v>
      </c>
      <c r="M120">
        <v>-6.9420000000000002</v>
      </c>
      <c r="N120">
        <v>4.8000000000000001E-2</v>
      </c>
      <c r="O120">
        <v>139.90199999999999</v>
      </c>
      <c r="P120">
        <v>0.16300000000000001</v>
      </c>
      <c r="Q120">
        <v>73</v>
      </c>
      <c r="R120">
        <f t="shared" si="1"/>
        <v>1</v>
      </c>
      <c r="S120">
        <v>210240</v>
      </c>
    </row>
    <row r="121" spans="1:19" x14ac:dyDescent="0.45">
      <c r="A121">
        <v>120</v>
      </c>
      <c r="B121" t="s">
        <v>379</v>
      </c>
      <c r="C121" t="s">
        <v>376</v>
      </c>
      <c r="D121" s="1">
        <v>44061</v>
      </c>
      <c r="E121">
        <v>2</v>
      </c>
      <c r="F121" t="s">
        <v>380</v>
      </c>
      <c r="G121" t="s">
        <v>381</v>
      </c>
      <c r="H121">
        <v>0.52500000000000002</v>
      </c>
      <c r="I121">
        <v>0.61199999999999999</v>
      </c>
      <c r="J121">
        <v>0.57999999999999996</v>
      </c>
      <c r="K121">
        <v>4.1399999999999998E-4</v>
      </c>
      <c r="L121">
        <v>0.26</v>
      </c>
      <c r="M121">
        <v>-8.5719999999999992</v>
      </c>
      <c r="N121">
        <v>4.19E-2</v>
      </c>
      <c r="O121">
        <v>130.04499999999999</v>
      </c>
      <c r="P121">
        <v>0.53400000000000003</v>
      </c>
      <c r="Q121">
        <v>74</v>
      </c>
      <c r="R121">
        <f t="shared" si="1"/>
        <v>1</v>
      </c>
      <c r="S121">
        <v>239560</v>
      </c>
    </row>
    <row r="122" spans="1:19" x14ac:dyDescent="0.45">
      <c r="A122">
        <v>121</v>
      </c>
      <c r="B122" t="s">
        <v>382</v>
      </c>
      <c r="C122" t="s">
        <v>376</v>
      </c>
      <c r="D122" s="1">
        <v>44061</v>
      </c>
      <c r="E122">
        <v>3</v>
      </c>
      <c r="F122" t="s">
        <v>383</v>
      </c>
      <c r="G122" t="s">
        <v>384</v>
      </c>
      <c r="H122">
        <v>0.48099999999999998</v>
      </c>
      <c r="I122">
        <v>0.68799999999999994</v>
      </c>
      <c r="J122">
        <v>0.65300000000000002</v>
      </c>
      <c r="K122">
        <v>4.1399999999999996E-3</v>
      </c>
      <c r="L122">
        <v>0.106</v>
      </c>
      <c r="M122">
        <v>-8.5579999999999998</v>
      </c>
      <c r="N122">
        <v>4.0300000000000002E-2</v>
      </c>
      <c r="O122">
        <v>147.99100000000001</v>
      </c>
      <c r="P122">
        <v>0.70099999999999996</v>
      </c>
      <c r="Q122">
        <v>72</v>
      </c>
      <c r="R122">
        <f t="shared" si="1"/>
        <v>1</v>
      </c>
      <c r="S122">
        <v>231000</v>
      </c>
    </row>
    <row r="123" spans="1:19" x14ac:dyDescent="0.45">
      <c r="A123">
        <v>122</v>
      </c>
      <c r="B123" t="s">
        <v>385</v>
      </c>
      <c r="C123" t="s">
        <v>376</v>
      </c>
      <c r="D123" s="1">
        <v>44061</v>
      </c>
      <c r="E123">
        <v>4</v>
      </c>
      <c r="F123" t="s">
        <v>386</v>
      </c>
      <c r="G123" t="s">
        <v>387</v>
      </c>
      <c r="H123">
        <v>0.76100000000000001</v>
      </c>
      <c r="I123">
        <v>0.31</v>
      </c>
      <c r="J123">
        <v>0.374</v>
      </c>
      <c r="K123" s="2">
        <v>2.4600000000000002E-5</v>
      </c>
      <c r="L123">
        <v>0.11</v>
      </c>
      <c r="M123">
        <v>-8.4640000000000004</v>
      </c>
      <c r="N123">
        <v>2.75E-2</v>
      </c>
      <c r="O123">
        <v>75.938000000000002</v>
      </c>
      <c r="P123">
        <v>0.16</v>
      </c>
      <c r="Q123">
        <v>74</v>
      </c>
      <c r="R123">
        <f t="shared" si="1"/>
        <v>1</v>
      </c>
      <c r="S123">
        <v>285640</v>
      </c>
    </row>
    <row r="124" spans="1:19" x14ac:dyDescent="0.45">
      <c r="A124">
        <v>123</v>
      </c>
      <c r="B124" t="s">
        <v>388</v>
      </c>
      <c r="C124" t="s">
        <v>376</v>
      </c>
      <c r="D124" s="1">
        <v>44061</v>
      </c>
      <c r="E124">
        <v>5</v>
      </c>
      <c r="F124" t="s">
        <v>389</v>
      </c>
      <c r="G124" t="s">
        <v>390</v>
      </c>
      <c r="H124">
        <v>0.81399999999999995</v>
      </c>
      <c r="I124">
        <v>0.45600000000000002</v>
      </c>
      <c r="J124">
        <v>0.26500000000000001</v>
      </c>
      <c r="K124">
        <v>0</v>
      </c>
      <c r="L124">
        <v>6.7900000000000002E-2</v>
      </c>
      <c r="M124">
        <v>-10.663</v>
      </c>
      <c r="N124">
        <v>3.2800000000000003E-2</v>
      </c>
      <c r="O124">
        <v>129.947</v>
      </c>
      <c r="P124">
        <v>0.112</v>
      </c>
      <c r="Q124">
        <v>73</v>
      </c>
      <c r="R124">
        <f t="shared" si="1"/>
        <v>1</v>
      </c>
      <c r="S124">
        <v>255893</v>
      </c>
    </row>
    <row r="125" spans="1:19" x14ac:dyDescent="0.45">
      <c r="A125">
        <v>124</v>
      </c>
      <c r="B125" t="s">
        <v>391</v>
      </c>
      <c r="C125" t="s">
        <v>376</v>
      </c>
      <c r="D125" s="1">
        <v>44061</v>
      </c>
      <c r="E125">
        <v>6</v>
      </c>
      <c r="F125" t="s">
        <v>392</v>
      </c>
      <c r="G125" t="s">
        <v>393</v>
      </c>
      <c r="H125">
        <v>0.68600000000000005</v>
      </c>
      <c r="I125">
        <v>0.54900000000000004</v>
      </c>
      <c r="J125">
        <v>0.41699999999999998</v>
      </c>
      <c r="K125" s="2">
        <v>1.9E-6</v>
      </c>
      <c r="L125">
        <v>6.0400000000000002E-2</v>
      </c>
      <c r="M125">
        <v>-10.064</v>
      </c>
      <c r="N125">
        <v>3.5000000000000003E-2</v>
      </c>
      <c r="O125">
        <v>110.137</v>
      </c>
      <c r="P125">
        <v>0.34699999999999998</v>
      </c>
      <c r="Q125">
        <v>72</v>
      </c>
      <c r="R125">
        <f t="shared" si="1"/>
        <v>1</v>
      </c>
      <c r="S125">
        <v>208973</v>
      </c>
    </row>
    <row r="126" spans="1:19" x14ac:dyDescent="0.45">
      <c r="A126">
        <v>125</v>
      </c>
      <c r="B126" t="s">
        <v>394</v>
      </c>
      <c r="C126" t="s">
        <v>376</v>
      </c>
      <c r="D126" s="1">
        <v>44061</v>
      </c>
      <c r="E126">
        <v>7</v>
      </c>
      <c r="F126" t="s">
        <v>395</v>
      </c>
      <c r="G126" t="s">
        <v>396</v>
      </c>
      <c r="H126">
        <v>0.88800000000000001</v>
      </c>
      <c r="I126">
        <v>0.60199999999999998</v>
      </c>
      <c r="J126">
        <v>0.49399999999999999</v>
      </c>
      <c r="K126" s="2">
        <v>2.5899999999999999E-5</v>
      </c>
      <c r="L126">
        <v>9.0200000000000002E-2</v>
      </c>
      <c r="M126">
        <v>-10.813000000000001</v>
      </c>
      <c r="N126">
        <v>2.7699999999999999E-2</v>
      </c>
      <c r="O126">
        <v>94.954999999999998</v>
      </c>
      <c r="P126">
        <v>0.374</v>
      </c>
      <c r="Q126">
        <v>72</v>
      </c>
      <c r="R126">
        <f t="shared" si="1"/>
        <v>1</v>
      </c>
      <c r="S126">
        <v>208906</v>
      </c>
    </row>
    <row r="127" spans="1:19" x14ac:dyDescent="0.45">
      <c r="A127">
        <v>126</v>
      </c>
      <c r="B127" t="s">
        <v>397</v>
      </c>
      <c r="C127" t="s">
        <v>376</v>
      </c>
      <c r="D127" s="1">
        <v>44061</v>
      </c>
      <c r="E127">
        <v>8</v>
      </c>
      <c r="F127" t="s">
        <v>398</v>
      </c>
      <c r="G127" t="s">
        <v>399</v>
      </c>
      <c r="H127">
        <v>0.55300000000000005</v>
      </c>
      <c r="I127">
        <v>0.38700000000000001</v>
      </c>
      <c r="J127">
        <v>0.63400000000000001</v>
      </c>
      <c r="K127" s="2">
        <v>6.9300000000000004E-5</v>
      </c>
      <c r="L127">
        <v>9.3100000000000002E-2</v>
      </c>
      <c r="M127">
        <v>-9.2219999999999995</v>
      </c>
      <c r="N127">
        <v>3.6299999999999999E-2</v>
      </c>
      <c r="O127">
        <v>89.566999999999993</v>
      </c>
      <c r="P127">
        <v>0.42</v>
      </c>
      <c r="Q127">
        <v>74</v>
      </c>
      <c r="R127">
        <f t="shared" si="1"/>
        <v>1</v>
      </c>
      <c r="S127">
        <v>261920</v>
      </c>
    </row>
    <row r="128" spans="1:19" x14ac:dyDescent="0.45">
      <c r="A128">
        <v>127</v>
      </c>
      <c r="B128" t="s">
        <v>400</v>
      </c>
      <c r="C128" t="s">
        <v>376</v>
      </c>
      <c r="D128" s="1">
        <v>44061</v>
      </c>
      <c r="E128">
        <v>9</v>
      </c>
      <c r="F128" t="s">
        <v>401</v>
      </c>
      <c r="G128" t="s">
        <v>402</v>
      </c>
      <c r="H128">
        <v>0.312</v>
      </c>
      <c r="I128">
        <v>0.51100000000000001</v>
      </c>
      <c r="J128">
        <v>0.47799999999999998</v>
      </c>
      <c r="K128" s="2">
        <v>2.3E-5</v>
      </c>
      <c r="L128">
        <v>0.14699999999999999</v>
      </c>
      <c r="M128">
        <v>-9.8369999999999997</v>
      </c>
      <c r="N128">
        <v>3.2199999999999999E-2</v>
      </c>
      <c r="O128">
        <v>135.88200000000001</v>
      </c>
      <c r="P128">
        <v>0.40799999999999997</v>
      </c>
      <c r="Q128">
        <v>72</v>
      </c>
      <c r="R128">
        <f t="shared" si="1"/>
        <v>1</v>
      </c>
      <c r="S128">
        <v>195106</v>
      </c>
    </row>
    <row r="129" spans="1:19" x14ac:dyDescent="0.45">
      <c r="A129">
        <v>128</v>
      </c>
      <c r="B129" t="s">
        <v>403</v>
      </c>
      <c r="C129" t="s">
        <v>376</v>
      </c>
      <c r="D129" s="1">
        <v>44061</v>
      </c>
      <c r="E129">
        <v>10</v>
      </c>
      <c r="F129" t="s">
        <v>404</v>
      </c>
      <c r="G129" t="s">
        <v>405</v>
      </c>
      <c r="H129">
        <v>0.86199999999999999</v>
      </c>
      <c r="I129">
        <v>0.52900000000000003</v>
      </c>
      <c r="J129">
        <v>0.30399999999999999</v>
      </c>
      <c r="K129">
        <v>0</v>
      </c>
      <c r="L129">
        <v>0.108</v>
      </c>
      <c r="M129">
        <v>-10.567</v>
      </c>
      <c r="N129">
        <v>3.56E-2</v>
      </c>
      <c r="O129">
        <v>119.58</v>
      </c>
      <c r="P129">
        <v>0.44</v>
      </c>
      <c r="Q129">
        <v>72</v>
      </c>
      <c r="R129">
        <f t="shared" si="1"/>
        <v>1</v>
      </c>
      <c r="S129">
        <v>190893</v>
      </c>
    </row>
    <row r="130" spans="1:19" x14ac:dyDescent="0.45">
      <c r="A130">
        <v>129</v>
      </c>
      <c r="B130" t="s">
        <v>406</v>
      </c>
      <c r="C130" t="s">
        <v>376</v>
      </c>
      <c r="D130" s="1">
        <v>44061</v>
      </c>
      <c r="E130">
        <v>11</v>
      </c>
      <c r="F130" t="s">
        <v>407</v>
      </c>
      <c r="G130" t="s">
        <v>408</v>
      </c>
      <c r="H130">
        <v>0.85899999999999999</v>
      </c>
      <c r="I130">
        <v>0.65100000000000002</v>
      </c>
      <c r="J130">
        <v>0.45900000000000002</v>
      </c>
      <c r="K130" s="2">
        <v>6.6299999999999999E-5</v>
      </c>
      <c r="L130">
        <v>0.105</v>
      </c>
      <c r="M130">
        <v>-11.128</v>
      </c>
      <c r="N130">
        <v>5.0700000000000002E-2</v>
      </c>
      <c r="O130">
        <v>83.454999999999998</v>
      </c>
      <c r="P130">
        <v>0.45400000000000001</v>
      </c>
      <c r="Q130">
        <v>72</v>
      </c>
      <c r="R130">
        <f t="shared" si="1"/>
        <v>1</v>
      </c>
      <c r="S130">
        <v>252880</v>
      </c>
    </row>
    <row r="131" spans="1:19" x14ac:dyDescent="0.45">
      <c r="A131">
        <v>130</v>
      </c>
      <c r="B131" t="s">
        <v>409</v>
      </c>
      <c r="C131" t="s">
        <v>376</v>
      </c>
      <c r="D131" s="1">
        <v>44061</v>
      </c>
      <c r="E131">
        <v>12</v>
      </c>
      <c r="F131" t="s">
        <v>410</v>
      </c>
      <c r="G131" t="s">
        <v>411</v>
      </c>
      <c r="H131">
        <v>0.67</v>
      </c>
      <c r="I131">
        <v>0.59299999999999997</v>
      </c>
      <c r="J131">
        <v>0.7</v>
      </c>
      <c r="K131" s="2">
        <v>6.7700000000000004E-6</v>
      </c>
      <c r="L131">
        <v>0.11600000000000001</v>
      </c>
      <c r="M131">
        <v>-9.016</v>
      </c>
      <c r="N131">
        <v>4.9200000000000001E-2</v>
      </c>
      <c r="O131">
        <v>141.898</v>
      </c>
      <c r="P131">
        <v>0.45100000000000001</v>
      </c>
      <c r="Q131">
        <v>70</v>
      </c>
      <c r="R131">
        <f t="shared" ref="R131:R173" si="2">IF(Q131&lt;69,0,1)</f>
        <v>1</v>
      </c>
      <c r="S131">
        <v>237266</v>
      </c>
    </row>
    <row r="132" spans="1:19" x14ac:dyDescent="0.45">
      <c r="A132">
        <v>131</v>
      </c>
      <c r="B132" t="s">
        <v>412</v>
      </c>
      <c r="C132" t="s">
        <v>376</v>
      </c>
      <c r="D132" s="1">
        <v>44061</v>
      </c>
      <c r="E132">
        <v>13</v>
      </c>
      <c r="F132" t="s">
        <v>413</v>
      </c>
      <c r="G132" t="s">
        <v>414</v>
      </c>
      <c r="H132">
        <v>0.72699999999999998</v>
      </c>
      <c r="I132">
        <v>0.317</v>
      </c>
      <c r="J132">
        <v>0.254</v>
      </c>
      <c r="K132">
        <v>3.2600000000000001E-4</v>
      </c>
      <c r="L132">
        <v>8.6699999999999999E-2</v>
      </c>
      <c r="M132">
        <v>-13.679</v>
      </c>
      <c r="N132">
        <v>2.86E-2</v>
      </c>
      <c r="O132">
        <v>93.933000000000007</v>
      </c>
      <c r="P132">
        <v>0.10299999999999999</v>
      </c>
      <c r="Q132">
        <v>68</v>
      </c>
      <c r="R132">
        <f t="shared" si="2"/>
        <v>0</v>
      </c>
      <c r="S132">
        <v>289746</v>
      </c>
    </row>
    <row r="133" spans="1:19" x14ac:dyDescent="0.45">
      <c r="A133">
        <v>132</v>
      </c>
      <c r="B133" t="s">
        <v>415</v>
      </c>
      <c r="C133" t="s">
        <v>376</v>
      </c>
      <c r="D133" s="1">
        <v>44061</v>
      </c>
      <c r="E133">
        <v>14</v>
      </c>
      <c r="F133" t="s">
        <v>416</v>
      </c>
      <c r="G133" t="s">
        <v>417</v>
      </c>
      <c r="H133">
        <v>0.58899999999999997</v>
      </c>
      <c r="I133">
        <v>0.59499999999999997</v>
      </c>
      <c r="J133">
        <v>0.376</v>
      </c>
      <c r="K133">
        <v>0</v>
      </c>
      <c r="L133">
        <v>9.8900000000000002E-2</v>
      </c>
      <c r="M133">
        <v>-8.7669999999999995</v>
      </c>
      <c r="N133">
        <v>2.5600000000000001E-2</v>
      </c>
      <c r="O133">
        <v>95.945999999999998</v>
      </c>
      <c r="P133">
        <v>0.47599999999999998</v>
      </c>
      <c r="Q133">
        <v>70</v>
      </c>
      <c r="R133">
        <f t="shared" si="2"/>
        <v>1</v>
      </c>
      <c r="S133">
        <v>294520</v>
      </c>
    </row>
    <row r="134" spans="1:19" x14ac:dyDescent="0.45">
      <c r="A134">
        <v>133</v>
      </c>
      <c r="B134" t="s">
        <v>418</v>
      </c>
      <c r="C134" t="s">
        <v>376</v>
      </c>
      <c r="D134" s="1">
        <v>44061</v>
      </c>
      <c r="E134">
        <v>15</v>
      </c>
      <c r="F134" t="s">
        <v>419</v>
      </c>
      <c r="G134" t="s">
        <v>420</v>
      </c>
      <c r="H134">
        <v>0.91600000000000004</v>
      </c>
      <c r="I134">
        <v>0.64400000000000002</v>
      </c>
      <c r="J134">
        <v>0.28399999999999997</v>
      </c>
      <c r="K134" s="2">
        <v>1.5E-5</v>
      </c>
      <c r="L134">
        <v>9.0899999999999995E-2</v>
      </c>
      <c r="M134">
        <v>-12.879</v>
      </c>
      <c r="N134">
        <v>8.2100000000000006E-2</v>
      </c>
      <c r="O134">
        <v>150.072</v>
      </c>
      <c r="P134">
        <v>0.32800000000000001</v>
      </c>
      <c r="Q134">
        <v>69</v>
      </c>
      <c r="R134">
        <f t="shared" si="2"/>
        <v>1</v>
      </c>
      <c r="S134">
        <v>234000</v>
      </c>
    </row>
    <row r="135" spans="1:19" x14ac:dyDescent="0.45">
      <c r="A135">
        <v>134</v>
      </c>
      <c r="B135" t="s">
        <v>421</v>
      </c>
      <c r="C135" t="s">
        <v>376</v>
      </c>
      <c r="D135" s="1">
        <v>44061</v>
      </c>
      <c r="E135">
        <v>16</v>
      </c>
      <c r="F135" t="s">
        <v>422</v>
      </c>
      <c r="G135" t="s">
        <v>423</v>
      </c>
      <c r="H135">
        <v>0.96399999999999997</v>
      </c>
      <c r="I135">
        <v>0.67600000000000005</v>
      </c>
      <c r="J135">
        <v>0.17799999999999999</v>
      </c>
      <c r="K135" s="2">
        <v>7.9000000000000006E-6</v>
      </c>
      <c r="L135">
        <v>0.13500000000000001</v>
      </c>
      <c r="M135">
        <v>-15.01</v>
      </c>
      <c r="N135">
        <v>3.9399999999999998E-2</v>
      </c>
      <c r="O135">
        <v>118.84</v>
      </c>
      <c r="P135">
        <v>0.40400000000000003</v>
      </c>
      <c r="Q135">
        <v>68</v>
      </c>
      <c r="R135">
        <f t="shared" si="2"/>
        <v>0</v>
      </c>
      <c r="S135">
        <v>220040</v>
      </c>
    </row>
    <row r="136" spans="1:19" x14ac:dyDescent="0.45">
      <c r="A136">
        <v>135</v>
      </c>
      <c r="B136" t="s">
        <v>424</v>
      </c>
      <c r="C136" t="s">
        <v>376</v>
      </c>
      <c r="D136" s="1">
        <v>44061</v>
      </c>
      <c r="E136">
        <v>17</v>
      </c>
      <c r="F136" t="s">
        <v>425</v>
      </c>
      <c r="G136" t="s">
        <v>426</v>
      </c>
      <c r="H136">
        <v>0.84199999999999997</v>
      </c>
      <c r="I136">
        <v>0.313</v>
      </c>
      <c r="J136">
        <v>0.25800000000000001</v>
      </c>
      <c r="K136" s="2">
        <v>1.3E-6</v>
      </c>
      <c r="L136">
        <v>9.4799999999999995E-2</v>
      </c>
      <c r="M136">
        <v>-11.532</v>
      </c>
      <c r="N136">
        <v>3.8300000000000001E-2</v>
      </c>
      <c r="O136">
        <v>179.947</v>
      </c>
      <c r="P136">
        <v>0.26800000000000002</v>
      </c>
      <c r="Q136">
        <v>72</v>
      </c>
      <c r="R136">
        <f t="shared" si="2"/>
        <v>1</v>
      </c>
      <c r="S136">
        <v>211813</v>
      </c>
    </row>
    <row r="137" spans="1:19" x14ac:dyDescent="0.45">
      <c r="A137">
        <v>136</v>
      </c>
      <c r="B137" t="s">
        <v>427</v>
      </c>
      <c r="C137" t="s">
        <v>428</v>
      </c>
      <c r="D137" s="1">
        <v>44203</v>
      </c>
      <c r="E137">
        <v>1</v>
      </c>
      <c r="F137" t="s">
        <v>429</v>
      </c>
      <c r="G137" t="s">
        <v>430</v>
      </c>
      <c r="H137">
        <v>0.83299999999999996</v>
      </c>
      <c r="I137">
        <v>0.39200000000000002</v>
      </c>
      <c r="J137">
        <v>0.57399999999999995</v>
      </c>
      <c r="K137">
        <v>1.7899999999999999E-3</v>
      </c>
      <c r="L137">
        <v>0.14499999999999999</v>
      </c>
      <c r="M137">
        <v>-9.1950000000000003</v>
      </c>
      <c r="N137">
        <v>0.17</v>
      </c>
      <c r="O137">
        <v>81.111999999999995</v>
      </c>
      <c r="P137">
        <v>0.52900000000000003</v>
      </c>
      <c r="Q137">
        <v>73</v>
      </c>
      <c r="R137">
        <f t="shared" si="2"/>
        <v>1</v>
      </c>
      <c r="S137">
        <v>214706</v>
      </c>
    </row>
    <row r="138" spans="1:19" x14ac:dyDescent="0.45">
      <c r="A138">
        <v>137</v>
      </c>
      <c r="B138" t="s">
        <v>431</v>
      </c>
      <c r="C138" t="s">
        <v>428</v>
      </c>
      <c r="D138" s="1">
        <v>44203</v>
      </c>
      <c r="E138">
        <v>2</v>
      </c>
      <c r="F138" t="s">
        <v>432</v>
      </c>
      <c r="G138" t="s">
        <v>433</v>
      </c>
      <c r="H138">
        <v>0.92</v>
      </c>
      <c r="I138">
        <v>0.46200000000000002</v>
      </c>
      <c r="J138">
        <v>0.24</v>
      </c>
      <c r="K138">
        <v>0</v>
      </c>
      <c r="L138">
        <v>0.113</v>
      </c>
      <c r="M138">
        <v>-12.077</v>
      </c>
      <c r="N138">
        <v>3.7699999999999997E-2</v>
      </c>
      <c r="O138">
        <v>171.31899999999999</v>
      </c>
      <c r="P138">
        <v>0.32</v>
      </c>
      <c r="Q138">
        <v>73</v>
      </c>
      <c r="R138">
        <f t="shared" si="2"/>
        <v>1</v>
      </c>
      <c r="S138">
        <v>244000</v>
      </c>
    </row>
    <row r="139" spans="1:19" x14ac:dyDescent="0.45">
      <c r="A139">
        <v>138</v>
      </c>
      <c r="B139" t="s">
        <v>434</v>
      </c>
      <c r="C139" t="s">
        <v>428</v>
      </c>
      <c r="D139" s="1">
        <v>44203</v>
      </c>
      <c r="E139">
        <v>3</v>
      </c>
      <c r="F139" t="s">
        <v>435</v>
      </c>
      <c r="G139" t="s">
        <v>436</v>
      </c>
      <c r="H139">
        <v>0.83</v>
      </c>
      <c r="I139">
        <v>0.51200000000000001</v>
      </c>
      <c r="J139">
        <v>0.46200000000000002</v>
      </c>
      <c r="K139">
        <v>0.16600000000000001</v>
      </c>
      <c r="L139">
        <v>0.121</v>
      </c>
      <c r="M139">
        <v>-10.491</v>
      </c>
      <c r="N139">
        <v>4.0800000000000003E-2</v>
      </c>
      <c r="O139">
        <v>112.05</v>
      </c>
      <c r="P139">
        <v>0.35299999999999998</v>
      </c>
      <c r="Q139">
        <v>71</v>
      </c>
      <c r="R139">
        <f t="shared" si="2"/>
        <v>1</v>
      </c>
      <c r="S139">
        <v>185320</v>
      </c>
    </row>
    <row r="140" spans="1:19" x14ac:dyDescent="0.45">
      <c r="A140">
        <v>139</v>
      </c>
      <c r="B140" t="s">
        <v>437</v>
      </c>
      <c r="C140" t="s">
        <v>428</v>
      </c>
      <c r="D140" s="1">
        <v>44203</v>
      </c>
      <c r="E140">
        <v>4</v>
      </c>
      <c r="F140" t="s">
        <v>438</v>
      </c>
      <c r="G140" t="s">
        <v>439</v>
      </c>
      <c r="H140">
        <v>0.73499999999999999</v>
      </c>
      <c r="I140">
        <v>0.57499999999999996</v>
      </c>
      <c r="J140">
        <v>0.434</v>
      </c>
      <c r="K140" s="2">
        <v>6.5900000000000003E-5</v>
      </c>
      <c r="L140">
        <v>0.105</v>
      </c>
      <c r="M140">
        <v>-8.1929999999999996</v>
      </c>
      <c r="N140">
        <v>3.1199999999999999E-2</v>
      </c>
      <c r="O140">
        <v>145.916</v>
      </c>
      <c r="P140">
        <v>0.34799999999999998</v>
      </c>
      <c r="Q140">
        <v>72</v>
      </c>
      <c r="R140">
        <f t="shared" si="2"/>
        <v>1</v>
      </c>
      <c r="S140">
        <v>229840</v>
      </c>
    </row>
    <row r="141" spans="1:19" x14ac:dyDescent="0.45">
      <c r="A141">
        <v>140</v>
      </c>
      <c r="B141" t="s">
        <v>440</v>
      </c>
      <c r="C141" t="s">
        <v>428</v>
      </c>
      <c r="D141" s="1">
        <v>44203</v>
      </c>
      <c r="E141">
        <v>5</v>
      </c>
      <c r="F141" t="s">
        <v>441</v>
      </c>
      <c r="G141" t="s">
        <v>442</v>
      </c>
      <c r="H141">
        <v>0.878</v>
      </c>
      <c r="I141">
        <v>0.316</v>
      </c>
      <c r="J141">
        <v>0.36099999999999999</v>
      </c>
      <c r="K141" s="2">
        <v>2.6699999999999998E-5</v>
      </c>
      <c r="L141">
        <v>7.9699999999999993E-2</v>
      </c>
      <c r="M141">
        <v>-10.381</v>
      </c>
      <c r="N141">
        <v>4.8800000000000003E-2</v>
      </c>
      <c r="O141">
        <v>74.951999999999998</v>
      </c>
      <c r="P141">
        <v>0.221</v>
      </c>
      <c r="Q141">
        <v>71</v>
      </c>
      <c r="R141">
        <f t="shared" si="2"/>
        <v>1</v>
      </c>
      <c r="S141">
        <v>245440</v>
      </c>
    </row>
    <row r="142" spans="1:19" x14ac:dyDescent="0.45">
      <c r="A142">
        <v>141</v>
      </c>
      <c r="B142" t="s">
        <v>443</v>
      </c>
      <c r="C142" t="s">
        <v>428</v>
      </c>
      <c r="D142" s="1">
        <v>44203</v>
      </c>
      <c r="E142">
        <v>6</v>
      </c>
      <c r="F142" t="s">
        <v>444</v>
      </c>
      <c r="G142" t="s">
        <v>445</v>
      </c>
      <c r="H142">
        <v>0.41799999999999998</v>
      </c>
      <c r="I142">
        <v>0.54600000000000004</v>
      </c>
      <c r="J142">
        <v>0.61299999999999999</v>
      </c>
      <c r="K142">
        <v>0</v>
      </c>
      <c r="L142">
        <v>0.10299999999999999</v>
      </c>
      <c r="M142">
        <v>-7.5890000000000004</v>
      </c>
      <c r="N142">
        <v>2.64E-2</v>
      </c>
      <c r="O142">
        <v>79.015000000000001</v>
      </c>
      <c r="P142">
        <v>0.53500000000000003</v>
      </c>
      <c r="Q142">
        <v>71</v>
      </c>
      <c r="R142">
        <f t="shared" si="2"/>
        <v>1</v>
      </c>
      <c r="S142">
        <v>215626</v>
      </c>
    </row>
    <row r="143" spans="1:19" x14ac:dyDescent="0.45">
      <c r="A143">
        <v>142</v>
      </c>
      <c r="B143" t="s">
        <v>446</v>
      </c>
      <c r="C143" t="s">
        <v>428</v>
      </c>
      <c r="D143" s="1">
        <v>44203</v>
      </c>
      <c r="E143">
        <v>7</v>
      </c>
      <c r="F143" t="s">
        <v>447</v>
      </c>
      <c r="G143" t="s">
        <v>448</v>
      </c>
      <c r="H143">
        <v>0.87</v>
      </c>
      <c r="I143">
        <v>0.55900000000000005</v>
      </c>
      <c r="J143">
        <v>0.33400000000000002</v>
      </c>
      <c r="K143">
        <v>0</v>
      </c>
      <c r="L143">
        <v>0.114</v>
      </c>
      <c r="M143">
        <v>-10.733000000000001</v>
      </c>
      <c r="N143">
        <v>3.7600000000000001E-2</v>
      </c>
      <c r="O143">
        <v>122.07899999999999</v>
      </c>
      <c r="P143">
        <v>0.21099999999999999</v>
      </c>
      <c r="Q143">
        <v>69</v>
      </c>
      <c r="R143">
        <f t="shared" si="2"/>
        <v>1</v>
      </c>
      <c r="S143">
        <v>315146</v>
      </c>
    </row>
    <row r="144" spans="1:19" x14ac:dyDescent="0.45">
      <c r="A144">
        <v>143</v>
      </c>
      <c r="B144" t="s">
        <v>449</v>
      </c>
      <c r="C144" t="s">
        <v>428</v>
      </c>
      <c r="D144" s="1">
        <v>44203</v>
      </c>
      <c r="E144">
        <v>8</v>
      </c>
      <c r="F144" t="s">
        <v>450</v>
      </c>
      <c r="G144" t="s">
        <v>451</v>
      </c>
      <c r="H144">
        <v>0.69599999999999995</v>
      </c>
      <c r="I144">
        <v>0.60499999999999998</v>
      </c>
      <c r="J144">
        <v>0.48799999999999999</v>
      </c>
      <c r="K144">
        <v>0</v>
      </c>
      <c r="L144">
        <v>0.129</v>
      </c>
      <c r="M144">
        <v>-8.3219999999999992</v>
      </c>
      <c r="N144">
        <v>2.64E-2</v>
      </c>
      <c r="O144">
        <v>119.96599999999999</v>
      </c>
      <c r="P144">
        <v>0.35399999999999998</v>
      </c>
      <c r="Q144">
        <v>69</v>
      </c>
      <c r="R144">
        <f t="shared" si="2"/>
        <v>1</v>
      </c>
      <c r="S144">
        <v>225880</v>
      </c>
    </row>
    <row r="145" spans="1:19" x14ac:dyDescent="0.45">
      <c r="A145">
        <v>144</v>
      </c>
      <c r="B145" t="s">
        <v>452</v>
      </c>
      <c r="C145" t="s">
        <v>428</v>
      </c>
      <c r="D145" s="1">
        <v>44203</v>
      </c>
      <c r="E145">
        <v>9</v>
      </c>
      <c r="F145" t="s">
        <v>453</v>
      </c>
      <c r="G145" t="s">
        <v>454</v>
      </c>
      <c r="H145">
        <v>0.81899999999999995</v>
      </c>
      <c r="I145">
        <v>0.53700000000000003</v>
      </c>
      <c r="J145">
        <v>0.53700000000000003</v>
      </c>
      <c r="K145">
        <v>9.0399999999999996E-4</v>
      </c>
      <c r="L145">
        <v>0.14199999999999999</v>
      </c>
      <c r="M145">
        <v>-11.266</v>
      </c>
      <c r="N145">
        <v>6.1699999999999998E-2</v>
      </c>
      <c r="O145">
        <v>107.895</v>
      </c>
      <c r="P145">
        <v>0.29199999999999998</v>
      </c>
      <c r="Q145">
        <v>69</v>
      </c>
      <c r="R145">
        <f t="shared" si="2"/>
        <v>1</v>
      </c>
      <c r="S145">
        <v>275320</v>
      </c>
    </row>
    <row r="146" spans="1:19" x14ac:dyDescent="0.45">
      <c r="A146">
        <v>145</v>
      </c>
      <c r="B146" t="s">
        <v>455</v>
      </c>
      <c r="C146" t="s">
        <v>428</v>
      </c>
      <c r="D146" s="1">
        <v>44203</v>
      </c>
      <c r="E146">
        <v>10</v>
      </c>
      <c r="F146" t="s">
        <v>456</v>
      </c>
      <c r="G146" t="s">
        <v>457</v>
      </c>
      <c r="H146">
        <v>0.85499999999999998</v>
      </c>
      <c r="I146">
        <v>0.51500000000000001</v>
      </c>
      <c r="J146">
        <v>0.54500000000000004</v>
      </c>
      <c r="K146" s="2">
        <v>1.9700000000000001E-5</v>
      </c>
      <c r="L146">
        <v>9.2100000000000001E-2</v>
      </c>
      <c r="M146">
        <v>-9.2769999999999992</v>
      </c>
      <c r="N146">
        <v>3.5299999999999998E-2</v>
      </c>
      <c r="O146">
        <v>88.855999999999995</v>
      </c>
      <c r="P146">
        <v>0.53500000000000003</v>
      </c>
      <c r="Q146">
        <v>70</v>
      </c>
      <c r="R146">
        <f t="shared" si="2"/>
        <v>1</v>
      </c>
      <c r="S146">
        <v>260440</v>
      </c>
    </row>
    <row r="147" spans="1:19" x14ac:dyDescent="0.45">
      <c r="A147">
        <v>146</v>
      </c>
      <c r="B147" t="s">
        <v>458</v>
      </c>
      <c r="C147" t="s">
        <v>428</v>
      </c>
      <c r="D147" s="1">
        <v>44203</v>
      </c>
      <c r="E147">
        <v>11</v>
      </c>
      <c r="F147" t="s">
        <v>459</v>
      </c>
      <c r="G147" t="s">
        <v>460</v>
      </c>
      <c r="H147">
        <v>0.76800000000000002</v>
      </c>
      <c r="I147">
        <v>0.60399999999999998</v>
      </c>
      <c r="J147">
        <v>0.51700000000000002</v>
      </c>
      <c r="K147">
        <v>1.55E-4</v>
      </c>
      <c r="L147">
        <v>0.123</v>
      </c>
      <c r="M147">
        <v>-9.0139999999999993</v>
      </c>
      <c r="N147">
        <v>3.4700000000000002E-2</v>
      </c>
      <c r="O147">
        <v>127.967</v>
      </c>
      <c r="P147">
        <v>0.51100000000000001</v>
      </c>
      <c r="Q147">
        <v>69</v>
      </c>
      <c r="R147">
        <f t="shared" si="2"/>
        <v>1</v>
      </c>
      <c r="S147">
        <v>275040</v>
      </c>
    </row>
    <row r="148" spans="1:19" x14ac:dyDescent="0.45">
      <c r="A148">
        <v>147</v>
      </c>
      <c r="B148" t="s">
        <v>461</v>
      </c>
      <c r="C148" t="s">
        <v>428</v>
      </c>
      <c r="D148" s="1">
        <v>44203</v>
      </c>
      <c r="E148">
        <v>12</v>
      </c>
      <c r="F148" t="s">
        <v>462</v>
      </c>
      <c r="G148" t="s">
        <v>463</v>
      </c>
      <c r="H148">
        <v>0.66</v>
      </c>
      <c r="I148">
        <v>0.54600000000000004</v>
      </c>
      <c r="J148">
        <v>0.73</v>
      </c>
      <c r="K148">
        <v>0.17899999999999999</v>
      </c>
      <c r="L148">
        <v>9.7199999999999995E-2</v>
      </c>
      <c r="M148">
        <v>-7.7039999999999997</v>
      </c>
      <c r="N148">
        <v>4.1700000000000001E-2</v>
      </c>
      <c r="O148">
        <v>157.89500000000001</v>
      </c>
      <c r="P148">
        <v>0.57299999999999995</v>
      </c>
      <c r="Q148">
        <v>69</v>
      </c>
      <c r="R148">
        <f t="shared" si="2"/>
        <v>1</v>
      </c>
      <c r="S148">
        <v>215920</v>
      </c>
    </row>
    <row r="149" spans="1:19" x14ac:dyDescent="0.45">
      <c r="A149">
        <v>148</v>
      </c>
      <c r="B149" t="s">
        <v>464</v>
      </c>
      <c r="C149" t="s">
        <v>428</v>
      </c>
      <c r="D149" s="1">
        <v>44203</v>
      </c>
      <c r="E149">
        <v>13</v>
      </c>
      <c r="F149" t="s">
        <v>465</v>
      </c>
      <c r="G149" t="s">
        <v>466</v>
      </c>
      <c r="H149">
        <v>0.876</v>
      </c>
      <c r="I149">
        <v>0.53500000000000003</v>
      </c>
      <c r="J149">
        <v>0.56100000000000005</v>
      </c>
      <c r="K149">
        <v>1.36E-4</v>
      </c>
      <c r="L149">
        <v>0.115</v>
      </c>
      <c r="M149">
        <v>-11.609</v>
      </c>
      <c r="N149">
        <v>4.8399999999999999E-2</v>
      </c>
      <c r="O149">
        <v>96.102999999999994</v>
      </c>
      <c r="P149">
        <v>0.28699999999999998</v>
      </c>
      <c r="Q149">
        <v>69</v>
      </c>
      <c r="R149">
        <f t="shared" si="2"/>
        <v>1</v>
      </c>
      <c r="S149">
        <v>257773</v>
      </c>
    </row>
    <row r="150" spans="1:19" x14ac:dyDescent="0.45">
      <c r="A150">
        <v>149</v>
      </c>
      <c r="B150" t="s">
        <v>467</v>
      </c>
      <c r="C150" t="s">
        <v>428</v>
      </c>
      <c r="D150" s="1">
        <v>44203</v>
      </c>
      <c r="E150">
        <v>14</v>
      </c>
      <c r="F150" t="s">
        <v>468</v>
      </c>
      <c r="G150" t="s">
        <v>469</v>
      </c>
      <c r="H150">
        <v>0.83499999999999996</v>
      </c>
      <c r="I150">
        <v>0.68899999999999995</v>
      </c>
      <c r="J150">
        <v>0.70399999999999996</v>
      </c>
      <c r="K150" s="2">
        <v>4.8300000000000003E-6</v>
      </c>
      <c r="L150">
        <v>0.13400000000000001</v>
      </c>
      <c r="M150">
        <v>-10.813000000000001</v>
      </c>
      <c r="N150">
        <v>0.245</v>
      </c>
      <c r="O150">
        <v>151.88399999999999</v>
      </c>
      <c r="P150">
        <v>0.92</v>
      </c>
      <c r="Q150">
        <v>67</v>
      </c>
      <c r="R150">
        <f t="shared" si="2"/>
        <v>0</v>
      </c>
      <c r="S150">
        <v>180653</v>
      </c>
    </row>
    <row r="151" spans="1:19" x14ac:dyDescent="0.45">
      <c r="A151">
        <v>150</v>
      </c>
      <c r="B151" t="s">
        <v>470</v>
      </c>
      <c r="C151" t="s">
        <v>428</v>
      </c>
      <c r="D151" s="1">
        <v>44203</v>
      </c>
      <c r="E151">
        <v>15</v>
      </c>
      <c r="F151" t="s">
        <v>471</v>
      </c>
      <c r="G151" t="s">
        <v>472</v>
      </c>
      <c r="H151">
        <v>0.93700000000000006</v>
      </c>
      <c r="I151">
        <v>0.39</v>
      </c>
      <c r="J151">
        <v>0.27</v>
      </c>
      <c r="K151">
        <v>2.2699999999999999E-3</v>
      </c>
      <c r="L151">
        <v>0.111</v>
      </c>
      <c r="M151">
        <v>-10.673</v>
      </c>
      <c r="N151">
        <v>3.0800000000000001E-2</v>
      </c>
      <c r="O151">
        <v>125.17700000000001</v>
      </c>
      <c r="P151">
        <v>0.32</v>
      </c>
      <c r="Q151">
        <v>70</v>
      </c>
      <c r="R151">
        <f t="shared" si="2"/>
        <v>1</v>
      </c>
      <c r="S151">
        <v>304106</v>
      </c>
    </row>
    <row r="152" spans="1:19" x14ac:dyDescent="0.45">
      <c r="A152">
        <v>151</v>
      </c>
      <c r="B152" t="s">
        <v>473</v>
      </c>
      <c r="C152" t="s">
        <v>428</v>
      </c>
      <c r="D152" s="1">
        <v>44203</v>
      </c>
      <c r="E152">
        <v>16</v>
      </c>
      <c r="F152" t="s">
        <v>474</v>
      </c>
      <c r="G152" t="s">
        <v>475</v>
      </c>
      <c r="H152">
        <v>0.76900000000000002</v>
      </c>
      <c r="I152">
        <v>0.58099999999999996</v>
      </c>
      <c r="J152">
        <v>0.61899999999999999</v>
      </c>
      <c r="K152">
        <v>1.06E-4</v>
      </c>
      <c r="L152">
        <v>0.11700000000000001</v>
      </c>
      <c r="M152">
        <v>-6.524</v>
      </c>
      <c r="N152">
        <v>2.8199999999999999E-2</v>
      </c>
      <c r="O152">
        <v>137.91499999999999</v>
      </c>
      <c r="P152">
        <v>0.64500000000000002</v>
      </c>
      <c r="Q152">
        <v>81</v>
      </c>
      <c r="R152">
        <f t="shared" si="2"/>
        <v>1</v>
      </c>
      <c r="S152">
        <v>245026</v>
      </c>
    </row>
    <row r="153" spans="1:19" x14ac:dyDescent="0.45">
      <c r="A153">
        <v>152</v>
      </c>
      <c r="B153" t="s">
        <v>476</v>
      </c>
      <c r="C153" t="s">
        <v>428</v>
      </c>
      <c r="D153" s="1">
        <v>44203</v>
      </c>
      <c r="E153">
        <v>17</v>
      </c>
      <c r="F153" t="s">
        <v>477</v>
      </c>
      <c r="G153" t="s">
        <v>478</v>
      </c>
      <c r="H153">
        <v>0.80100000000000005</v>
      </c>
      <c r="I153">
        <v>0.59199999999999997</v>
      </c>
      <c r="J153">
        <v>0.41</v>
      </c>
      <c r="K153" s="2">
        <v>1.3900000000000001E-5</v>
      </c>
      <c r="L153">
        <v>0.09</v>
      </c>
      <c r="M153">
        <v>-12.426</v>
      </c>
      <c r="N153">
        <v>3.9699999999999999E-2</v>
      </c>
      <c r="O153">
        <v>151.923</v>
      </c>
      <c r="P153">
        <v>0.41599999999999998</v>
      </c>
      <c r="Q153">
        <v>72</v>
      </c>
      <c r="R153">
        <f t="shared" si="2"/>
        <v>1</v>
      </c>
      <c r="S153">
        <v>254640</v>
      </c>
    </row>
    <row r="154" spans="1:19" x14ac:dyDescent="0.45">
      <c r="A154">
        <v>153</v>
      </c>
      <c r="B154" t="s">
        <v>479</v>
      </c>
      <c r="C154" t="s">
        <v>480</v>
      </c>
      <c r="D154" s="1">
        <v>44856</v>
      </c>
      <c r="E154">
        <v>1</v>
      </c>
      <c r="F154" t="s">
        <v>481</v>
      </c>
      <c r="G154" t="s">
        <v>482</v>
      </c>
      <c r="H154">
        <v>0.20399999999999999</v>
      </c>
      <c r="I154">
        <v>0.73499999999999999</v>
      </c>
      <c r="J154">
        <v>0.44400000000000001</v>
      </c>
      <c r="K154">
        <v>1.1999999999999999E-3</v>
      </c>
      <c r="L154">
        <v>0.17</v>
      </c>
      <c r="M154">
        <v>-10.519</v>
      </c>
      <c r="N154">
        <v>6.8400000000000002E-2</v>
      </c>
      <c r="O154">
        <v>97.037999999999997</v>
      </c>
      <c r="P154">
        <v>9.8400000000000001E-2</v>
      </c>
      <c r="Q154">
        <v>71</v>
      </c>
      <c r="R154">
        <f t="shared" si="2"/>
        <v>1</v>
      </c>
      <c r="S154">
        <v>202395</v>
      </c>
    </row>
    <row r="155" spans="1:19" x14ac:dyDescent="0.45">
      <c r="A155">
        <v>154</v>
      </c>
      <c r="B155" t="s">
        <v>483</v>
      </c>
      <c r="C155" t="s">
        <v>480</v>
      </c>
      <c r="D155" s="1">
        <v>44856</v>
      </c>
      <c r="E155">
        <v>2</v>
      </c>
      <c r="F155" t="s">
        <v>484</v>
      </c>
      <c r="G155" t="s">
        <v>485</v>
      </c>
      <c r="H155">
        <v>5.9299999999999999E-2</v>
      </c>
      <c r="I155">
        <v>0.65800000000000003</v>
      </c>
      <c r="J155">
        <v>0.378</v>
      </c>
      <c r="K155">
        <v>0</v>
      </c>
      <c r="L155">
        <v>9.7600000000000006E-2</v>
      </c>
      <c r="M155">
        <v>-8.3000000000000007</v>
      </c>
      <c r="N155">
        <v>3.7900000000000003E-2</v>
      </c>
      <c r="O155">
        <v>108.03400000000001</v>
      </c>
      <c r="P155">
        <v>3.8199999999999998E-2</v>
      </c>
      <c r="Q155">
        <v>69</v>
      </c>
      <c r="R155">
        <f t="shared" si="2"/>
        <v>1</v>
      </c>
      <c r="S155">
        <v>218270</v>
      </c>
    </row>
    <row r="156" spans="1:19" x14ac:dyDescent="0.45">
      <c r="A156">
        <v>155</v>
      </c>
      <c r="B156" t="s">
        <v>486</v>
      </c>
      <c r="C156" t="s">
        <v>480</v>
      </c>
      <c r="D156" s="1">
        <v>44856</v>
      </c>
      <c r="E156">
        <v>3</v>
      </c>
      <c r="F156" t="s">
        <v>487</v>
      </c>
      <c r="G156" t="s">
        <v>488</v>
      </c>
      <c r="H156">
        <v>0.13300000000000001</v>
      </c>
      <c r="I156">
        <v>0.63800000000000001</v>
      </c>
      <c r="J156">
        <v>0.63400000000000001</v>
      </c>
      <c r="K156" s="2">
        <v>1.2300000000000001E-6</v>
      </c>
      <c r="L156">
        <v>0.152</v>
      </c>
      <c r="M156">
        <v>-6.5819999999999999</v>
      </c>
      <c r="N156">
        <v>4.5699999999999998E-2</v>
      </c>
      <c r="O156">
        <v>96.953000000000003</v>
      </c>
      <c r="P156">
        <v>0.51900000000000002</v>
      </c>
      <c r="Q156">
        <v>71</v>
      </c>
      <c r="R156">
        <f t="shared" si="2"/>
        <v>1</v>
      </c>
      <c r="S156">
        <v>200690</v>
      </c>
    </row>
    <row r="157" spans="1:19" x14ac:dyDescent="0.45">
      <c r="A157">
        <v>156</v>
      </c>
      <c r="B157" t="s">
        <v>489</v>
      </c>
      <c r="C157" t="s">
        <v>480</v>
      </c>
      <c r="D157" s="1">
        <v>44856</v>
      </c>
      <c r="E157">
        <v>4</v>
      </c>
      <c r="F157" t="s">
        <v>490</v>
      </c>
      <c r="G157" t="s">
        <v>491</v>
      </c>
      <c r="H157">
        <v>0.73499999999999999</v>
      </c>
      <c r="I157">
        <v>0.65900000000000003</v>
      </c>
      <c r="J157">
        <v>0.32300000000000001</v>
      </c>
      <c r="K157">
        <v>3.2100000000000002E-3</v>
      </c>
      <c r="L157">
        <v>0.11600000000000001</v>
      </c>
      <c r="M157">
        <v>-13.425000000000001</v>
      </c>
      <c r="N157">
        <v>4.36E-2</v>
      </c>
      <c r="O157">
        <v>110.00700000000001</v>
      </c>
      <c r="P157">
        <v>0.154</v>
      </c>
      <c r="Q157">
        <v>68</v>
      </c>
      <c r="R157">
        <f t="shared" si="2"/>
        <v>0</v>
      </c>
      <c r="S157">
        <v>256124</v>
      </c>
    </row>
    <row r="158" spans="1:19" x14ac:dyDescent="0.45">
      <c r="A158">
        <v>157</v>
      </c>
      <c r="B158" t="s">
        <v>492</v>
      </c>
      <c r="C158" t="s">
        <v>480</v>
      </c>
      <c r="D158" s="1">
        <v>44856</v>
      </c>
      <c r="E158">
        <v>5</v>
      </c>
      <c r="F158" t="s">
        <v>493</v>
      </c>
      <c r="G158" t="s">
        <v>494</v>
      </c>
      <c r="H158">
        <v>0.41599999999999998</v>
      </c>
      <c r="I158">
        <v>0.69399999999999995</v>
      </c>
      <c r="J158">
        <v>0.38</v>
      </c>
      <c r="K158" s="2">
        <v>8.4700000000000002E-6</v>
      </c>
      <c r="L158">
        <v>0.126</v>
      </c>
      <c r="M158">
        <v>-10.307</v>
      </c>
      <c r="N158">
        <v>6.1400000000000003E-2</v>
      </c>
      <c r="O158">
        <v>120.044</v>
      </c>
      <c r="P158">
        <v>0.376</v>
      </c>
      <c r="Q158">
        <v>70</v>
      </c>
      <c r="R158">
        <f t="shared" si="2"/>
        <v>1</v>
      </c>
      <c r="S158">
        <v>194206</v>
      </c>
    </row>
    <row r="159" spans="1:19" x14ac:dyDescent="0.45">
      <c r="A159">
        <v>158</v>
      </c>
      <c r="B159" t="s">
        <v>495</v>
      </c>
      <c r="C159" t="s">
        <v>480</v>
      </c>
      <c r="D159" s="1">
        <v>44856</v>
      </c>
      <c r="E159">
        <v>6</v>
      </c>
      <c r="F159" t="s">
        <v>496</v>
      </c>
      <c r="G159" t="s">
        <v>497</v>
      </c>
      <c r="H159">
        <v>0.71</v>
      </c>
      <c r="I159">
        <v>0.63600000000000001</v>
      </c>
      <c r="J159">
        <v>0.377</v>
      </c>
      <c r="K159" s="2">
        <v>6.5099999999999997E-5</v>
      </c>
      <c r="L159">
        <v>0.115</v>
      </c>
      <c r="M159">
        <v>-11.721</v>
      </c>
      <c r="N159">
        <v>7.0800000000000002E-2</v>
      </c>
      <c r="O159">
        <v>139.96600000000001</v>
      </c>
      <c r="P159">
        <v>0.23</v>
      </c>
      <c r="Q159">
        <v>71</v>
      </c>
      <c r="R159">
        <f t="shared" si="2"/>
        <v>1</v>
      </c>
      <c r="S159">
        <v>174782</v>
      </c>
    </row>
    <row r="160" spans="1:19" x14ac:dyDescent="0.45">
      <c r="A160">
        <v>159</v>
      </c>
      <c r="B160" t="s">
        <v>498</v>
      </c>
      <c r="C160" t="s">
        <v>480</v>
      </c>
      <c r="D160" s="1">
        <v>44856</v>
      </c>
      <c r="E160">
        <v>7</v>
      </c>
      <c r="F160" t="s">
        <v>499</v>
      </c>
      <c r="G160" t="s">
        <v>500</v>
      </c>
      <c r="H160">
        <v>0.22600000000000001</v>
      </c>
      <c r="I160">
        <v>0.751</v>
      </c>
      <c r="J160">
        <v>0.502</v>
      </c>
      <c r="K160">
        <v>0</v>
      </c>
      <c r="L160">
        <v>0.29699999999999999</v>
      </c>
      <c r="M160">
        <v>-8.7769999999999992</v>
      </c>
      <c r="N160">
        <v>0.16200000000000001</v>
      </c>
      <c r="O160">
        <v>108.989</v>
      </c>
      <c r="P160">
        <v>0.112</v>
      </c>
      <c r="Q160">
        <v>67</v>
      </c>
      <c r="R160">
        <f t="shared" si="2"/>
        <v>0</v>
      </c>
      <c r="S160">
        <v>210556</v>
      </c>
    </row>
    <row r="161" spans="1:19" x14ac:dyDescent="0.45">
      <c r="A161">
        <v>160</v>
      </c>
      <c r="B161" t="s">
        <v>501</v>
      </c>
      <c r="C161" t="s">
        <v>480</v>
      </c>
      <c r="D161" s="1">
        <v>44856</v>
      </c>
      <c r="E161">
        <v>8</v>
      </c>
      <c r="F161" t="s">
        <v>502</v>
      </c>
      <c r="G161" t="s">
        <v>503</v>
      </c>
      <c r="H161">
        <v>0.16</v>
      </c>
      <c r="I161">
        <v>0.87</v>
      </c>
      <c r="J161">
        <v>0.27900000000000003</v>
      </c>
      <c r="K161" s="2">
        <v>1.7399999999999999E-5</v>
      </c>
      <c r="L161">
        <v>0.121</v>
      </c>
      <c r="M161">
        <v>-11.134</v>
      </c>
      <c r="N161">
        <v>0.36399999999999999</v>
      </c>
      <c r="O161">
        <v>79.995999999999995</v>
      </c>
      <c r="P161">
        <v>0.16</v>
      </c>
      <c r="Q161">
        <v>69</v>
      </c>
      <c r="R161">
        <f t="shared" si="2"/>
        <v>1</v>
      </c>
      <c r="S161">
        <v>164801</v>
      </c>
    </row>
    <row r="162" spans="1:19" x14ac:dyDescent="0.45">
      <c r="A162">
        <v>161</v>
      </c>
      <c r="B162" t="s">
        <v>504</v>
      </c>
      <c r="C162" t="s">
        <v>480</v>
      </c>
      <c r="D162" s="1">
        <v>44856</v>
      </c>
      <c r="E162">
        <v>9</v>
      </c>
      <c r="F162" t="s">
        <v>505</v>
      </c>
      <c r="G162" t="s">
        <v>506</v>
      </c>
      <c r="H162">
        <v>6.6100000000000006E-2</v>
      </c>
      <c r="I162">
        <v>0.7</v>
      </c>
      <c r="J162">
        <v>0.55000000000000004</v>
      </c>
      <c r="K162">
        <v>1.02E-4</v>
      </c>
      <c r="L162">
        <v>9.0999999999999998E-2</v>
      </c>
      <c r="M162">
        <v>-9.1300000000000008</v>
      </c>
      <c r="N162">
        <v>6.5299999999999997E-2</v>
      </c>
      <c r="O162">
        <v>164.00299999999999</v>
      </c>
      <c r="P162">
        <v>0.41199999999999998</v>
      </c>
      <c r="Q162">
        <v>71</v>
      </c>
      <c r="R162">
        <f t="shared" si="2"/>
        <v>1</v>
      </c>
      <c r="S162">
        <v>194165</v>
      </c>
    </row>
    <row r="163" spans="1:19" x14ac:dyDescent="0.45">
      <c r="A163">
        <v>162</v>
      </c>
      <c r="B163" t="s">
        <v>507</v>
      </c>
      <c r="C163" t="s">
        <v>480</v>
      </c>
      <c r="D163" s="1">
        <v>44856</v>
      </c>
      <c r="E163">
        <v>10</v>
      </c>
      <c r="F163" t="s">
        <v>508</v>
      </c>
      <c r="G163" t="s">
        <v>509</v>
      </c>
      <c r="H163">
        <v>0.79100000000000004</v>
      </c>
      <c r="I163">
        <v>0.48699999999999999</v>
      </c>
      <c r="J163">
        <v>0.313</v>
      </c>
      <c r="K163">
        <v>0.34799999999999998</v>
      </c>
      <c r="L163">
        <v>0.124</v>
      </c>
      <c r="M163">
        <v>-15.433999999999999</v>
      </c>
      <c r="N163">
        <v>4.87E-2</v>
      </c>
      <c r="O163">
        <v>110.039</v>
      </c>
      <c r="P163">
        <v>0.14099999999999999</v>
      </c>
      <c r="Q163">
        <v>66</v>
      </c>
      <c r="R163">
        <f t="shared" si="2"/>
        <v>0</v>
      </c>
      <c r="S163">
        <v>247962</v>
      </c>
    </row>
    <row r="164" spans="1:19" x14ac:dyDescent="0.45">
      <c r="A164">
        <v>163</v>
      </c>
      <c r="B164" t="s">
        <v>510</v>
      </c>
      <c r="C164" t="s">
        <v>480</v>
      </c>
      <c r="D164" s="1">
        <v>44856</v>
      </c>
      <c r="E164">
        <v>11</v>
      </c>
      <c r="F164" t="s">
        <v>511</v>
      </c>
      <c r="G164" t="s">
        <v>512</v>
      </c>
      <c r="H164">
        <v>7.3999999999999996E-2</v>
      </c>
      <c r="I164">
        <v>0.64900000000000002</v>
      </c>
      <c r="J164">
        <v>0.622</v>
      </c>
      <c r="K164">
        <v>0</v>
      </c>
      <c r="L164">
        <v>0.59399999999999997</v>
      </c>
      <c r="M164">
        <v>-7.0540000000000003</v>
      </c>
      <c r="N164">
        <v>5.8200000000000002E-2</v>
      </c>
      <c r="O164">
        <v>90.024000000000001</v>
      </c>
      <c r="P164">
        <v>0.106</v>
      </c>
      <c r="Q164">
        <v>74</v>
      </c>
      <c r="R164">
        <f t="shared" si="2"/>
        <v>1</v>
      </c>
      <c r="S164">
        <v>204852</v>
      </c>
    </row>
    <row r="165" spans="1:19" x14ac:dyDescent="0.45">
      <c r="A165">
        <v>164</v>
      </c>
      <c r="B165" t="s">
        <v>513</v>
      </c>
      <c r="C165" t="s">
        <v>480</v>
      </c>
      <c r="D165" s="1">
        <v>44856</v>
      </c>
      <c r="E165">
        <v>12</v>
      </c>
      <c r="F165" t="s">
        <v>514</v>
      </c>
      <c r="G165" t="s">
        <v>515</v>
      </c>
      <c r="H165">
        <v>0.96699999999999997</v>
      </c>
      <c r="I165">
        <v>0.33400000000000002</v>
      </c>
      <c r="J165">
        <v>0.161</v>
      </c>
      <c r="K165" s="2">
        <v>4.71E-5</v>
      </c>
      <c r="L165">
        <v>0.115</v>
      </c>
      <c r="M165">
        <v>-14.875</v>
      </c>
      <c r="N165">
        <v>5.0599999999999999E-2</v>
      </c>
      <c r="O165">
        <v>176.74700000000001</v>
      </c>
      <c r="P165">
        <v>0.39600000000000002</v>
      </c>
      <c r="Q165">
        <v>68</v>
      </c>
      <c r="R165">
        <f t="shared" si="2"/>
        <v>0</v>
      </c>
      <c r="S165">
        <v>188496</v>
      </c>
    </row>
    <row r="166" spans="1:19" x14ac:dyDescent="0.45">
      <c r="A166">
        <v>165</v>
      </c>
      <c r="B166" t="s">
        <v>516</v>
      </c>
      <c r="C166" t="s">
        <v>480</v>
      </c>
      <c r="D166" s="1">
        <v>44856</v>
      </c>
      <c r="E166">
        <v>13</v>
      </c>
      <c r="F166" t="s">
        <v>517</v>
      </c>
      <c r="G166" t="s">
        <v>518</v>
      </c>
      <c r="H166">
        <v>0.57099999999999995</v>
      </c>
      <c r="I166">
        <v>0.66100000000000003</v>
      </c>
      <c r="J166">
        <v>0.35199999999999998</v>
      </c>
      <c r="K166">
        <v>1.47E-3</v>
      </c>
      <c r="L166">
        <v>8.8400000000000006E-2</v>
      </c>
      <c r="M166">
        <v>-14.077</v>
      </c>
      <c r="N166">
        <v>0.11700000000000001</v>
      </c>
      <c r="O166">
        <v>125.934</v>
      </c>
      <c r="P166">
        <v>0.13</v>
      </c>
      <c r="Q166">
        <v>72</v>
      </c>
      <c r="R166">
        <f t="shared" si="2"/>
        <v>1</v>
      </c>
      <c r="S166">
        <v>191039</v>
      </c>
    </row>
    <row r="167" spans="1:19" x14ac:dyDescent="0.45">
      <c r="A167">
        <v>166</v>
      </c>
      <c r="B167" t="s">
        <v>519</v>
      </c>
      <c r="C167" t="s">
        <v>480</v>
      </c>
      <c r="D167" s="1">
        <v>44856</v>
      </c>
      <c r="E167">
        <v>14</v>
      </c>
      <c r="F167" t="s">
        <v>520</v>
      </c>
      <c r="G167" t="s">
        <v>521</v>
      </c>
      <c r="H167">
        <v>0.219</v>
      </c>
      <c r="I167">
        <v>0.57299999999999995</v>
      </c>
      <c r="J167">
        <v>0.74099999999999999</v>
      </c>
      <c r="K167" s="2">
        <v>2.23E-5</v>
      </c>
      <c r="L167">
        <v>8.4199999999999997E-2</v>
      </c>
      <c r="M167">
        <v>-8.9870000000000001</v>
      </c>
      <c r="N167">
        <v>3.5299999999999998E-2</v>
      </c>
      <c r="O167">
        <v>96.016000000000005</v>
      </c>
      <c r="P167">
        <v>0.55400000000000005</v>
      </c>
      <c r="Q167">
        <v>78</v>
      </c>
      <c r="R167">
        <f t="shared" si="2"/>
        <v>1</v>
      </c>
      <c r="S167">
        <v>240355</v>
      </c>
    </row>
    <row r="168" spans="1:19" x14ac:dyDescent="0.45">
      <c r="A168">
        <v>167</v>
      </c>
      <c r="B168" t="s">
        <v>522</v>
      </c>
      <c r="C168" t="s">
        <v>480</v>
      </c>
      <c r="D168" s="1">
        <v>44856</v>
      </c>
      <c r="E168">
        <v>15</v>
      </c>
      <c r="F168" t="s">
        <v>523</v>
      </c>
      <c r="G168" t="s">
        <v>524</v>
      </c>
      <c r="H168">
        <v>0.82599999999999996</v>
      </c>
      <c r="I168">
        <v>0.42199999999999999</v>
      </c>
      <c r="J168">
        <v>0.23499999999999999</v>
      </c>
      <c r="K168">
        <v>6.4799999999999996E-3</v>
      </c>
      <c r="L168">
        <v>0.115</v>
      </c>
      <c r="M168">
        <v>-12.379</v>
      </c>
      <c r="N168">
        <v>5.6800000000000003E-2</v>
      </c>
      <c r="O168">
        <v>165.71</v>
      </c>
      <c r="P168">
        <v>6.8000000000000005E-2</v>
      </c>
      <c r="Q168">
        <v>73</v>
      </c>
      <c r="R168">
        <f t="shared" si="2"/>
        <v>1</v>
      </c>
      <c r="S168">
        <v>218502</v>
      </c>
    </row>
    <row r="169" spans="1:19" x14ac:dyDescent="0.45">
      <c r="A169">
        <v>168</v>
      </c>
      <c r="B169" t="s">
        <v>525</v>
      </c>
      <c r="C169" t="s">
        <v>480</v>
      </c>
      <c r="D169" s="1">
        <v>44856</v>
      </c>
      <c r="E169">
        <v>16</v>
      </c>
      <c r="F169" t="s">
        <v>526</v>
      </c>
      <c r="G169" t="s">
        <v>527</v>
      </c>
      <c r="H169">
        <v>0.112</v>
      </c>
      <c r="I169">
        <v>0.7</v>
      </c>
      <c r="J169">
        <v>0.50900000000000001</v>
      </c>
      <c r="K169" s="2">
        <v>3.2700000000000002E-5</v>
      </c>
      <c r="L169">
        <v>0.13700000000000001</v>
      </c>
      <c r="M169">
        <v>-10.547000000000001</v>
      </c>
      <c r="N169">
        <v>7.8899999999999998E-2</v>
      </c>
      <c r="O169">
        <v>110.947</v>
      </c>
      <c r="P169">
        <v>0.34499999999999997</v>
      </c>
      <c r="Q169">
        <v>72</v>
      </c>
      <c r="R169">
        <f t="shared" si="2"/>
        <v>1</v>
      </c>
      <c r="S169">
        <v>196258</v>
      </c>
    </row>
    <row r="170" spans="1:19" x14ac:dyDescent="0.45">
      <c r="A170">
        <v>169</v>
      </c>
      <c r="B170" t="s">
        <v>528</v>
      </c>
      <c r="C170" t="s">
        <v>480</v>
      </c>
      <c r="D170" s="1">
        <v>44856</v>
      </c>
      <c r="E170">
        <v>17</v>
      </c>
      <c r="F170" t="s">
        <v>529</v>
      </c>
      <c r="G170" t="s">
        <v>530</v>
      </c>
      <c r="H170">
        <v>0.72299999999999998</v>
      </c>
      <c r="I170">
        <v>0.64600000000000002</v>
      </c>
      <c r="J170">
        <v>0.52900000000000003</v>
      </c>
      <c r="K170">
        <v>0</v>
      </c>
      <c r="L170">
        <v>8.8499999999999995E-2</v>
      </c>
      <c r="M170">
        <v>-10.179</v>
      </c>
      <c r="N170">
        <v>8.6400000000000005E-2</v>
      </c>
      <c r="O170">
        <v>87.861999999999995</v>
      </c>
      <c r="P170">
        <v>0.755</v>
      </c>
      <c r="Q170">
        <v>71</v>
      </c>
      <c r="R170">
        <f t="shared" si="2"/>
        <v>1</v>
      </c>
      <c r="S170">
        <v>231475</v>
      </c>
    </row>
    <row r="171" spans="1:19" x14ac:dyDescent="0.45">
      <c r="A171">
        <v>170</v>
      </c>
      <c r="B171" t="s">
        <v>531</v>
      </c>
      <c r="C171" t="s">
        <v>480</v>
      </c>
      <c r="D171" s="1">
        <v>44856</v>
      </c>
      <c r="E171">
        <v>18</v>
      </c>
      <c r="F171" t="s">
        <v>532</v>
      </c>
      <c r="G171" t="s">
        <v>533</v>
      </c>
      <c r="H171">
        <v>0.36099999999999999</v>
      </c>
      <c r="I171">
        <v>0.67500000000000004</v>
      </c>
      <c r="J171">
        <v>0.46600000000000003</v>
      </c>
      <c r="K171">
        <v>0</v>
      </c>
      <c r="L171">
        <v>0.11</v>
      </c>
      <c r="M171">
        <v>-9.7379999999999995</v>
      </c>
      <c r="N171">
        <v>0.20100000000000001</v>
      </c>
      <c r="O171">
        <v>140.864</v>
      </c>
      <c r="P171">
        <v>0.34699999999999998</v>
      </c>
      <c r="Q171">
        <v>70</v>
      </c>
      <c r="R171">
        <f t="shared" si="2"/>
        <v>1</v>
      </c>
      <c r="S171">
        <v>148781</v>
      </c>
    </row>
    <row r="172" spans="1:19" x14ac:dyDescent="0.45">
      <c r="A172">
        <v>171</v>
      </c>
      <c r="B172" t="s">
        <v>534</v>
      </c>
      <c r="C172" t="s">
        <v>480</v>
      </c>
      <c r="D172" s="1">
        <v>44856</v>
      </c>
      <c r="E172">
        <v>19</v>
      </c>
      <c r="F172" t="s">
        <v>535</v>
      </c>
      <c r="G172" t="s">
        <v>536</v>
      </c>
      <c r="H172">
        <v>0.43</v>
      </c>
      <c r="I172">
        <v>0.48299999999999998</v>
      </c>
      <c r="J172">
        <v>0.84</v>
      </c>
      <c r="K172">
        <v>5.7499999999999999E-4</v>
      </c>
      <c r="L172">
        <v>0.14599999999999999</v>
      </c>
      <c r="M172">
        <v>-6.508</v>
      </c>
      <c r="N172">
        <v>0.11899999999999999</v>
      </c>
      <c r="O172">
        <v>157.97900000000001</v>
      </c>
      <c r="P172">
        <v>0.55000000000000004</v>
      </c>
      <c r="Q172">
        <v>75</v>
      </c>
      <c r="R172">
        <f t="shared" si="2"/>
        <v>1</v>
      </c>
      <c r="S172">
        <v>260361</v>
      </c>
    </row>
    <row r="173" spans="1:19" x14ac:dyDescent="0.45">
      <c r="A173">
        <v>172</v>
      </c>
      <c r="B173" t="s">
        <v>537</v>
      </c>
      <c r="C173" t="s">
        <v>480</v>
      </c>
      <c r="D173" s="1">
        <v>44856</v>
      </c>
      <c r="E173">
        <v>20</v>
      </c>
      <c r="F173" t="s">
        <v>538</v>
      </c>
      <c r="G173" t="s">
        <v>539</v>
      </c>
      <c r="H173">
        <v>0.48099999999999998</v>
      </c>
      <c r="I173">
        <v>0.56200000000000006</v>
      </c>
      <c r="J173">
        <v>0.38800000000000001</v>
      </c>
      <c r="K173">
        <v>1.4499999999999999E-3</v>
      </c>
      <c r="L173">
        <v>0.11700000000000001</v>
      </c>
      <c r="M173">
        <v>-12.087999999999999</v>
      </c>
      <c r="N173">
        <v>7.0499999999999993E-2</v>
      </c>
      <c r="O173">
        <v>107.747</v>
      </c>
      <c r="P173">
        <v>0.159</v>
      </c>
      <c r="Q173">
        <v>70</v>
      </c>
      <c r="R173">
        <f t="shared" si="2"/>
        <v>1</v>
      </c>
      <c r="S173">
        <v>225194</v>
      </c>
    </row>
  </sheetData>
  <autoFilter ref="A1:S173" xr:uid="{00000000-0001-0000-0000-000000000000}"/>
  <sortState xmlns:xlrd2="http://schemas.microsoft.com/office/spreadsheetml/2017/richdata2" ref="A1:S173">
    <sortCondition ref="D2:D173"/>
    <sortCondition ref="E2:E17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taylor_swift_spotify_OG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Lisa DeGrazia</cp:lastModifiedBy>
  <cp:revision/>
  <dcterms:created xsi:type="dcterms:W3CDTF">2023-10-03T22:19:42Z</dcterms:created>
  <dcterms:modified xsi:type="dcterms:W3CDTF">2024-04-21T21:24:44Z</dcterms:modified>
  <cp:category/>
  <cp:contentStatus/>
</cp:coreProperties>
</file>